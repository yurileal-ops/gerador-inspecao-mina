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NTREGAR FLAVIA\SEMANA 11\"/>
    </mc:Choice>
  </mc:AlternateContent>
  <xr:revisionPtr revIDLastSave="0" documentId="13_ncr:1_{A69A5E71-EE19-4EFE-84F6-881870744EB9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ALEGRIA SUL 2" sheetId="26" r:id="rId1"/>
    <sheet name="ALEGRIA SUL 1" sheetId="30" r:id="rId2"/>
    <sheet name="FAZENDÃO" sheetId="25" r:id="rId3"/>
    <sheet name="ALEGRIA CENTRO" sheetId="27" r:id="rId4"/>
    <sheet name="BRAÇO 64" sheetId="28" r:id="rId5"/>
    <sheet name="ALEGRIA 345" sheetId="29" r:id="rId6"/>
  </sheets>
  <definedNames>
    <definedName name="_xlnm._FilterDatabase" localSheetId="2" hidden="1">FAZENDÃO!#REF!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9" i="26" l="1"/>
  <c r="N148" i="26"/>
  <c r="M148" i="26"/>
  <c r="L148" i="26"/>
  <c r="K148" i="26"/>
  <c r="I148" i="26"/>
  <c r="H148" i="26"/>
  <c r="G148" i="26"/>
  <c r="E148" i="26"/>
  <c r="D148" i="26"/>
  <c r="N147" i="26"/>
  <c r="M147" i="26"/>
  <c r="L147" i="26"/>
  <c r="K147" i="26"/>
  <c r="I147" i="26"/>
  <c r="H147" i="26"/>
  <c r="G147" i="26"/>
  <c r="E147" i="26"/>
  <c r="D147" i="26"/>
  <c r="N146" i="26"/>
  <c r="M146" i="26"/>
  <c r="L146" i="26"/>
  <c r="K146" i="26"/>
  <c r="I146" i="26"/>
  <c r="H146" i="26"/>
  <c r="G146" i="26"/>
  <c r="E146" i="26"/>
  <c r="D146" i="26"/>
  <c r="N145" i="26"/>
  <c r="M145" i="26"/>
  <c r="L145" i="26"/>
  <c r="K145" i="26"/>
  <c r="I145" i="26"/>
  <c r="H145" i="26"/>
  <c r="G145" i="26"/>
  <c r="E145" i="26"/>
  <c r="D145" i="26"/>
  <c r="N144" i="26"/>
  <c r="M144" i="26"/>
  <c r="L144" i="26"/>
  <c r="K144" i="26"/>
  <c r="I144" i="26"/>
  <c r="H144" i="26"/>
  <c r="G144" i="26"/>
  <c r="E144" i="26"/>
  <c r="D144" i="26"/>
  <c r="N143" i="26"/>
  <c r="M143" i="26"/>
  <c r="L143" i="26"/>
  <c r="K143" i="26"/>
  <c r="I143" i="26"/>
  <c r="H143" i="26"/>
  <c r="G143" i="26"/>
  <c r="E143" i="26"/>
  <c r="D143" i="26"/>
  <c r="N142" i="26"/>
  <c r="M142" i="26"/>
  <c r="L142" i="26"/>
  <c r="K142" i="26"/>
  <c r="I142" i="26"/>
  <c r="H142" i="26"/>
  <c r="G142" i="26"/>
  <c r="E142" i="26"/>
  <c r="D142" i="26"/>
  <c r="N141" i="26"/>
  <c r="M141" i="26"/>
  <c r="L141" i="26"/>
  <c r="K141" i="26"/>
  <c r="I141" i="26"/>
  <c r="H141" i="26"/>
  <c r="G141" i="26"/>
  <c r="E141" i="26"/>
  <c r="D141" i="26"/>
  <c r="N140" i="26"/>
  <c r="M140" i="26"/>
  <c r="L140" i="26"/>
  <c r="K140" i="26"/>
  <c r="I140" i="26"/>
  <c r="H140" i="26"/>
  <c r="G140" i="26"/>
  <c r="E140" i="26"/>
  <c r="D140" i="26"/>
  <c r="N139" i="26"/>
  <c r="M139" i="26"/>
  <c r="L139" i="26"/>
  <c r="K139" i="26"/>
  <c r="I139" i="26"/>
  <c r="H139" i="26"/>
  <c r="G139" i="26"/>
  <c r="E139" i="26"/>
  <c r="D139" i="26"/>
  <c r="N138" i="26"/>
  <c r="M138" i="26"/>
  <c r="L138" i="26"/>
  <c r="K138" i="26"/>
  <c r="I138" i="26"/>
  <c r="H138" i="26"/>
  <c r="G138" i="26"/>
  <c r="E138" i="26"/>
  <c r="D138" i="26"/>
  <c r="N137" i="26"/>
  <c r="M137" i="26"/>
  <c r="L137" i="26"/>
  <c r="K137" i="26"/>
  <c r="I137" i="26"/>
  <c r="H137" i="26"/>
  <c r="G137" i="26"/>
  <c r="E137" i="26"/>
  <c r="D137" i="26"/>
  <c r="N48" i="30" l="1"/>
  <c r="M48" i="30"/>
  <c r="L48" i="30"/>
  <c r="K48" i="30"/>
  <c r="I48" i="30"/>
  <c r="H48" i="30"/>
  <c r="G48" i="30"/>
  <c r="E48" i="30"/>
  <c r="D48" i="30"/>
  <c r="N47" i="30"/>
  <c r="M47" i="30"/>
  <c r="L47" i="30"/>
  <c r="K47" i="30"/>
  <c r="I47" i="30"/>
  <c r="H47" i="30"/>
  <c r="G47" i="30"/>
  <c r="E47" i="30"/>
  <c r="D47" i="30"/>
  <c r="N46" i="30"/>
  <c r="M46" i="30"/>
  <c r="L46" i="30"/>
  <c r="K46" i="30"/>
  <c r="I46" i="30"/>
  <c r="H46" i="30"/>
  <c r="G46" i="30"/>
  <c r="E46" i="30"/>
  <c r="D46" i="30"/>
  <c r="N45" i="30"/>
  <c r="M45" i="30"/>
  <c r="L45" i="30"/>
  <c r="K45" i="30"/>
  <c r="I45" i="30"/>
  <c r="H45" i="30"/>
  <c r="G45" i="30"/>
  <c r="E45" i="30"/>
  <c r="D45" i="30"/>
  <c r="N44" i="30"/>
  <c r="M44" i="30"/>
  <c r="L44" i="30"/>
  <c r="K44" i="30"/>
  <c r="I44" i="30"/>
  <c r="H44" i="30"/>
  <c r="G44" i="30"/>
  <c r="E44" i="30"/>
  <c r="D44" i="30"/>
  <c r="N43" i="30"/>
  <c r="M43" i="30"/>
  <c r="L43" i="30"/>
  <c r="K43" i="30"/>
  <c r="I43" i="30"/>
  <c r="H43" i="30"/>
  <c r="G43" i="30"/>
  <c r="E43" i="30"/>
  <c r="D43" i="30"/>
  <c r="N42" i="30"/>
  <c r="M42" i="30"/>
  <c r="L42" i="30"/>
  <c r="K42" i="30"/>
  <c r="I42" i="30"/>
  <c r="H42" i="30"/>
  <c r="G42" i="30"/>
  <c r="E42" i="30"/>
  <c r="D42" i="30"/>
  <c r="N41" i="30"/>
  <c r="M41" i="30"/>
  <c r="L41" i="30"/>
  <c r="K41" i="30"/>
  <c r="I41" i="30"/>
  <c r="H41" i="30"/>
  <c r="G41" i="30"/>
  <c r="E41" i="30"/>
  <c r="D41" i="30"/>
  <c r="N40" i="30"/>
  <c r="M40" i="30"/>
  <c r="L40" i="30"/>
  <c r="K40" i="30"/>
  <c r="I40" i="30"/>
  <c r="H40" i="30"/>
  <c r="G40" i="30"/>
  <c r="E40" i="30"/>
  <c r="C49" i="30" s="1"/>
  <c r="D40" i="30"/>
  <c r="N39" i="30"/>
  <c r="M39" i="30"/>
  <c r="L39" i="30"/>
  <c r="K39" i="30"/>
  <c r="I39" i="30"/>
  <c r="H39" i="30"/>
  <c r="G39" i="30"/>
  <c r="E39" i="30"/>
  <c r="D39" i="30"/>
  <c r="N38" i="30"/>
  <c r="M38" i="30"/>
  <c r="L38" i="30"/>
  <c r="K38" i="30"/>
  <c r="I38" i="30"/>
  <c r="H38" i="30"/>
  <c r="G38" i="30"/>
  <c r="E38" i="30"/>
  <c r="D38" i="30"/>
  <c r="N37" i="30"/>
  <c r="M37" i="30"/>
  <c r="L37" i="30"/>
  <c r="K37" i="30"/>
  <c r="I37" i="30"/>
  <c r="H37" i="30"/>
  <c r="G37" i="30"/>
  <c r="E37" i="30"/>
  <c r="D37" i="30"/>
  <c r="N31" i="30"/>
  <c r="M31" i="30"/>
  <c r="L31" i="30"/>
  <c r="K31" i="30"/>
  <c r="I31" i="30"/>
  <c r="H31" i="30"/>
  <c r="G31" i="30"/>
  <c r="E31" i="30"/>
  <c r="D31" i="30"/>
  <c r="N30" i="30"/>
  <c r="M30" i="30"/>
  <c r="L30" i="30"/>
  <c r="K30" i="30"/>
  <c r="I30" i="30"/>
  <c r="H30" i="30"/>
  <c r="G30" i="30"/>
  <c r="E30" i="30"/>
  <c r="D30" i="30"/>
  <c r="N29" i="30"/>
  <c r="M29" i="30"/>
  <c r="L29" i="30"/>
  <c r="K29" i="30"/>
  <c r="I29" i="30"/>
  <c r="H29" i="30"/>
  <c r="G29" i="30"/>
  <c r="E29" i="30"/>
  <c r="D29" i="30"/>
  <c r="N28" i="30"/>
  <c r="M28" i="30"/>
  <c r="L28" i="30"/>
  <c r="K28" i="30"/>
  <c r="I28" i="30"/>
  <c r="H28" i="30"/>
  <c r="G28" i="30"/>
  <c r="E28" i="30"/>
  <c r="D28" i="30"/>
  <c r="N27" i="30"/>
  <c r="M27" i="30"/>
  <c r="L27" i="30"/>
  <c r="K27" i="30"/>
  <c r="I27" i="30"/>
  <c r="H27" i="30"/>
  <c r="G27" i="30"/>
  <c r="E27" i="30"/>
  <c r="D27" i="30"/>
  <c r="N26" i="30"/>
  <c r="M26" i="30"/>
  <c r="L26" i="30"/>
  <c r="K26" i="30"/>
  <c r="I26" i="30"/>
  <c r="H26" i="30"/>
  <c r="G26" i="30"/>
  <c r="E26" i="30"/>
  <c r="D26" i="30"/>
  <c r="N25" i="30"/>
  <c r="M25" i="30"/>
  <c r="L25" i="30"/>
  <c r="K25" i="30"/>
  <c r="I25" i="30"/>
  <c r="H25" i="30"/>
  <c r="G25" i="30"/>
  <c r="E25" i="30"/>
  <c r="D25" i="30"/>
  <c r="N24" i="30"/>
  <c r="M24" i="30"/>
  <c r="L24" i="30"/>
  <c r="K24" i="30"/>
  <c r="I24" i="30"/>
  <c r="H24" i="30"/>
  <c r="G24" i="30"/>
  <c r="E24" i="30"/>
  <c r="D24" i="30"/>
  <c r="N23" i="30"/>
  <c r="M23" i="30"/>
  <c r="L23" i="30"/>
  <c r="K23" i="30"/>
  <c r="I23" i="30"/>
  <c r="H23" i="30"/>
  <c r="G23" i="30"/>
  <c r="E23" i="30"/>
  <c r="D23" i="30"/>
  <c r="N22" i="30"/>
  <c r="M22" i="30"/>
  <c r="L22" i="30"/>
  <c r="K22" i="30"/>
  <c r="I22" i="30"/>
  <c r="H22" i="30"/>
  <c r="G22" i="30"/>
  <c r="E22" i="30"/>
  <c r="D22" i="30"/>
  <c r="N21" i="30"/>
  <c r="M21" i="30"/>
  <c r="L21" i="30"/>
  <c r="K21" i="30"/>
  <c r="I21" i="30"/>
  <c r="H21" i="30"/>
  <c r="G21" i="30"/>
  <c r="E21" i="30"/>
  <c r="D21" i="30"/>
  <c r="N20" i="30"/>
  <c r="M20" i="30"/>
  <c r="L20" i="30"/>
  <c r="K20" i="30"/>
  <c r="I20" i="30"/>
  <c r="H20" i="30"/>
  <c r="G20" i="30"/>
  <c r="E20" i="30"/>
  <c r="D20" i="30"/>
  <c r="N14" i="30"/>
  <c r="M14" i="30"/>
  <c r="L14" i="30"/>
  <c r="K14" i="30"/>
  <c r="I14" i="30"/>
  <c r="H14" i="30"/>
  <c r="G14" i="30"/>
  <c r="E14" i="30"/>
  <c r="D14" i="30"/>
  <c r="N13" i="30"/>
  <c r="M13" i="30"/>
  <c r="L13" i="30"/>
  <c r="K13" i="30"/>
  <c r="I13" i="30"/>
  <c r="H13" i="30"/>
  <c r="G13" i="30"/>
  <c r="E13" i="30"/>
  <c r="D13" i="30"/>
  <c r="N12" i="30"/>
  <c r="M12" i="30"/>
  <c r="L12" i="30"/>
  <c r="K12" i="30"/>
  <c r="I12" i="30"/>
  <c r="H12" i="30"/>
  <c r="G12" i="30"/>
  <c r="E12" i="30"/>
  <c r="D12" i="30"/>
  <c r="N11" i="30"/>
  <c r="M11" i="30"/>
  <c r="L11" i="30"/>
  <c r="K11" i="30"/>
  <c r="I11" i="30"/>
  <c r="H11" i="30"/>
  <c r="G11" i="30"/>
  <c r="E11" i="30"/>
  <c r="D11" i="30"/>
  <c r="N10" i="30"/>
  <c r="M10" i="30"/>
  <c r="L10" i="30"/>
  <c r="K10" i="30"/>
  <c r="I10" i="30"/>
  <c r="H10" i="30"/>
  <c r="G10" i="30"/>
  <c r="E10" i="30"/>
  <c r="D10" i="30"/>
  <c r="N9" i="30"/>
  <c r="M9" i="30"/>
  <c r="L9" i="30"/>
  <c r="K9" i="30"/>
  <c r="I9" i="30"/>
  <c r="H9" i="30"/>
  <c r="G9" i="30"/>
  <c r="E9" i="30"/>
  <c r="D9" i="30"/>
  <c r="N8" i="30"/>
  <c r="M8" i="30"/>
  <c r="L8" i="30"/>
  <c r="K8" i="30"/>
  <c r="I8" i="30"/>
  <c r="H8" i="30"/>
  <c r="G8" i="30"/>
  <c r="E8" i="30"/>
  <c r="D8" i="30"/>
  <c r="N7" i="30"/>
  <c r="M7" i="30"/>
  <c r="L7" i="30"/>
  <c r="K7" i="30"/>
  <c r="I7" i="30"/>
  <c r="H7" i="30"/>
  <c r="G7" i="30"/>
  <c r="E7" i="30"/>
  <c r="D7" i="30"/>
  <c r="N6" i="30"/>
  <c r="M6" i="30"/>
  <c r="L6" i="30"/>
  <c r="K6" i="30"/>
  <c r="I6" i="30"/>
  <c r="H6" i="30"/>
  <c r="G6" i="30"/>
  <c r="E6" i="30"/>
  <c r="D6" i="30"/>
  <c r="N5" i="30"/>
  <c r="M5" i="30"/>
  <c r="L5" i="30"/>
  <c r="K5" i="30"/>
  <c r="I5" i="30"/>
  <c r="H5" i="30"/>
  <c r="G5" i="30"/>
  <c r="E5" i="30"/>
  <c r="D5" i="30"/>
  <c r="N48" i="29"/>
  <c r="M48" i="29"/>
  <c r="L48" i="29"/>
  <c r="K48" i="29"/>
  <c r="I48" i="29"/>
  <c r="H48" i="29"/>
  <c r="G48" i="29"/>
  <c r="E48" i="29"/>
  <c r="D48" i="29"/>
  <c r="N47" i="29"/>
  <c r="M47" i="29"/>
  <c r="L47" i="29"/>
  <c r="K47" i="29"/>
  <c r="I47" i="29"/>
  <c r="H47" i="29"/>
  <c r="G47" i="29"/>
  <c r="E47" i="29"/>
  <c r="D47" i="29"/>
  <c r="N46" i="29"/>
  <c r="M46" i="29"/>
  <c r="L46" i="29"/>
  <c r="K46" i="29"/>
  <c r="I46" i="29"/>
  <c r="H46" i="29"/>
  <c r="G46" i="29"/>
  <c r="E46" i="29"/>
  <c r="D46" i="29"/>
  <c r="N45" i="29"/>
  <c r="M45" i="29"/>
  <c r="L45" i="29"/>
  <c r="K45" i="29"/>
  <c r="I45" i="29"/>
  <c r="H45" i="29"/>
  <c r="G45" i="29"/>
  <c r="E45" i="29"/>
  <c r="D45" i="29"/>
  <c r="N44" i="29"/>
  <c r="M44" i="29"/>
  <c r="L44" i="29"/>
  <c r="K44" i="29"/>
  <c r="I44" i="29"/>
  <c r="H44" i="29"/>
  <c r="G44" i="29"/>
  <c r="E44" i="29"/>
  <c r="D44" i="29"/>
  <c r="N43" i="29"/>
  <c r="M43" i="29"/>
  <c r="L43" i="29"/>
  <c r="K43" i="29"/>
  <c r="I43" i="29"/>
  <c r="H43" i="29"/>
  <c r="G43" i="29"/>
  <c r="E43" i="29"/>
  <c r="D43" i="29"/>
  <c r="N42" i="29"/>
  <c r="M42" i="29"/>
  <c r="L42" i="29"/>
  <c r="K42" i="29"/>
  <c r="I42" i="29"/>
  <c r="H42" i="29"/>
  <c r="G42" i="29"/>
  <c r="E42" i="29"/>
  <c r="D42" i="29"/>
  <c r="N41" i="29"/>
  <c r="M41" i="29"/>
  <c r="L41" i="29"/>
  <c r="K41" i="29"/>
  <c r="I41" i="29"/>
  <c r="H41" i="29"/>
  <c r="G41" i="29"/>
  <c r="E41" i="29"/>
  <c r="D41" i="29"/>
  <c r="N40" i="29"/>
  <c r="M40" i="29"/>
  <c r="L40" i="29"/>
  <c r="K40" i="29"/>
  <c r="I40" i="29"/>
  <c r="H40" i="29"/>
  <c r="G40" i="29"/>
  <c r="E40" i="29"/>
  <c r="D40" i="29"/>
  <c r="N39" i="29"/>
  <c r="M39" i="29"/>
  <c r="L39" i="29"/>
  <c r="K39" i="29"/>
  <c r="I39" i="29"/>
  <c r="H39" i="29"/>
  <c r="G39" i="29"/>
  <c r="E39" i="29"/>
  <c r="D39" i="29"/>
  <c r="N38" i="29"/>
  <c r="M38" i="29"/>
  <c r="L38" i="29"/>
  <c r="K38" i="29"/>
  <c r="I38" i="29"/>
  <c r="H38" i="29"/>
  <c r="G38" i="29"/>
  <c r="E38" i="29"/>
  <c r="D38" i="29"/>
  <c r="N37" i="29"/>
  <c r="M37" i="29"/>
  <c r="L37" i="29"/>
  <c r="K37" i="29"/>
  <c r="I37" i="29"/>
  <c r="H37" i="29"/>
  <c r="G37" i="29"/>
  <c r="E37" i="29"/>
  <c r="D37" i="29"/>
  <c r="N31" i="29"/>
  <c r="M31" i="29"/>
  <c r="L31" i="29"/>
  <c r="K31" i="29"/>
  <c r="I31" i="29"/>
  <c r="H31" i="29"/>
  <c r="G31" i="29"/>
  <c r="E31" i="29"/>
  <c r="D31" i="29"/>
  <c r="N30" i="29"/>
  <c r="M30" i="29"/>
  <c r="L30" i="29"/>
  <c r="K30" i="29"/>
  <c r="I30" i="29"/>
  <c r="H30" i="29"/>
  <c r="G30" i="29"/>
  <c r="E30" i="29"/>
  <c r="D30" i="29"/>
  <c r="N29" i="29"/>
  <c r="M29" i="29"/>
  <c r="L29" i="29"/>
  <c r="K29" i="29"/>
  <c r="I29" i="29"/>
  <c r="H29" i="29"/>
  <c r="G29" i="29"/>
  <c r="E29" i="29"/>
  <c r="D29" i="29"/>
  <c r="N28" i="29"/>
  <c r="M28" i="29"/>
  <c r="L28" i="29"/>
  <c r="K28" i="29"/>
  <c r="I28" i="29"/>
  <c r="H28" i="29"/>
  <c r="G28" i="29"/>
  <c r="E28" i="29"/>
  <c r="D28" i="29"/>
  <c r="N27" i="29"/>
  <c r="M27" i="29"/>
  <c r="L27" i="29"/>
  <c r="K27" i="29"/>
  <c r="I27" i="29"/>
  <c r="H27" i="29"/>
  <c r="G27" i="29"/>
  <c r="E27" i="29"/>
  <c r="D27" i="29"/>
  <c r="N26" i="29"/>
  <c r="M26" i="29"/>
  <c r="L26" i="29"/>
  <c r="K26" i="29"/>
  <c r="I26" i="29"/>
  <c r="H26" i="29"/>
  <c r="G26" i="29"/>
  <c r="E26" i="29"/>
  <c r="D26" i="29"/>
  <c r="N25" i="29"/>
  <c r="M25" i="29"/>
  <c r="L25" i="29"/>
  <c r="K25" i="29"/>
  <c r="I25" i="29"/>
  <c r="H25" i="29"/>
  <c r="G25" i="29"/>
  <c r="E25" i="29"/>
  <c r="D25" i="29"/>
  <c r="N24" i="29"/>
  <c r="M24" i="29"/>
  <c r="L24" i="29"/>
  <c r="K24" i="29"/>
  <c r="I24" i="29"/>
  <c r="H24" i="29"/>
  <c r="G24" i="29"/>
  <c r="E24" i="29"/>
  <c r="D24" i="29"/>
  <c r="N23" i="29"/>
  <c r="M23" i="29"/>
  <c r="L23" i="29"/>
  <c r="K23" i="29"/>
  <c r="I23" i="29"/>
  <c r="H23" i="29"/>
  <c r="G23" i="29"/>
  <c r="E23" i="29"/>
  <c r="D23" i="29"/>
  <c r="N22" i="29"/>
  <c r="M22" i="29"/>
  <c r="L22" i="29"/>
  <c r="K22" i="29"/>
  <c r="I22" i="29"/>
  <c r="H22" i="29"/>
  <c r="G22" i="29"/>
  <c r="E22" i="29"/>
  <c r="D22" i="29"/>
  <c r="N21" i="29"/>
  <c r="M21" i="29"/>
  <c r="L21" i="29"/>
  <c r="K21" i="29"/>
  <c r="I21" i="29"/>
  <c r="H21" i="29"/>
  <c r="G21" i="29"/>
  <c r="E21" i="29"/>
  <c r="D21" i="29"/>
  <c r="N20" i="29"/>
  <c r="M20" i="29"/>
  <c r="L20" i="29"/>
  <c r="K20" i="29"/>
  <c r="I20" i="29"/>
  <c r="H20" i="29"/>
  <c r="G20" i="29"/>
  <c r="E20" i="29"/>
  <c r="D20" i="29"/>
  <c r="N14" i="29"/>
  <c r="M14" i="29"/>
  <c r="L14" i="29"/>
  <c r="K14" i="29"/>
  <c r="I14" i="29"/>
  <c r="H14" i="29"/>
  <c r="G14" i="29"/>
  <c r="E14" i="29"/>
  <c r="D14" i="29"/>
  <c r="N13" i="29"/>
  <c r="M13" i="29"/>
  <c r="L13" i="29"/>
  <c r="K13" i="29"/>
  <c r="I13" i="29"/>
  <c r="H13" i="29"/>
  <c r="G13" i="29"/>
  <c r="E13" i="29"/>
  <c r="D13" i="29"/>
  <c r="N12" i="29"/>
  <c r="M12" i="29"/>
  <c r="L12" i="29"/>
  <c r="K12" i="29"/>
  <c r="I12" i="29"/>
  <c r="H12" i="29"/>
  <c r="G12" i="29"/>
  <c r="E12" i="29"/>
  <c r="D12" i="29"/>
  <c r="N11" i="29"/>
  <c r="M11" i="29"/>
  <c r="L11" i="29"/>
  <c r="K11" i="29"/>
  <c r="I11" i="29"/>
  <c r="H11" i="29"/>
  <c r="G11" i="29"/>
  <c r="E11" i="29"/>
  <c r="D11" i="29"/>
  <c r="N10" i="29"/>
  <c r="M10" i="29"/>
  <c r="L10" i="29"/>
  <c r="K10" i="29"/>
  <c r="I10" i="29"/>
  <c r="H10" i="29"/>
  <c r="G10" i="29"/>
  <c r="E10" i="29"/>
  <c r="D10" i="29"/>
  <c r="N9" i="29"/>
  <c r="M9" i="29"/>
  <c r="L9" i="29"/>
  <c r="K9" i="29"/>
  <c r="I9" i="29"/>
  <c r="H9" i="29"/>
  <c r="G9" i="29"/>
  <c r="E9" i="29"/>
  <c r="D9" i="29"/>
  <c r="N8" i="29"/>
  <c r="M8" i="29"/>
  <c r="L8" i="29"/>
  <c r="K8" i="29"/>
  <c r="I8" i="29"/>
  <c r="H8" i="29"/>
  <c r="G8" i="29"/>
  <c r="E8" i="29"/>
  <c r="D8" i="29"/>
  <c r="N7" i="29"/>
  <c r="M7" i="29"/>
  <c r="L7" i="29"/>
  <c r="K7" i="29"/>
  <c r="I7" i="29"/>
  <c r="H7" i="29"/>
  <c r="G7" i="29"/>
  <c r="E7" i="29"/>
  <c r="D7" i="29"/>
  <c r="N6" i="29"/>
  <c r="M6" i="29"/>
  <c r="L6" i="29"/>
  <c r="K6" i="29"/>
  <c r="I6" i="29"/>
  <c r="H6" i="29"/>
  <c r="G6" i="29"/>
  <c r="E6" i="29"/>
  <c r="D6" i="29"/>
  <c r="N5" i="29"/>
  <c r="M5" i="29"/>
  <c r="L5" i="29"/>
  <c r="K5" i="29"/>
  <c r="I5" i="29"/>
  <c r="H5" i="29"/>
  <c r="G5" i="29"/>
  <c r="E5" i="29"/>
  <c r="D5" i="29"/>
  <c r="N80" i="28"/>
  <c r="M80" i="28"/>
  <c r="L80" i="28"/>
  <c r="K80" i="28"/>
  <c r="I80" i="28"/>
  <c r="H80" i="28"/>
  <c r="G80" i="28"/>
  <c r="E80" i="28"/>
  <c r="D80" i="28"/>
  <c r="N79" i="28"/>
  <c r="M79" i="28"/>
  <c r="L79" i="28"/>
  <c r="K79" i="28"/>
  <c r="I79" i="28"/>
  <c r="H79" i="28"/>
  <c r="G79" i="28"/>
  <c r="E79" i="28"/>
  <c r="D79" i="28"/>
  <c r="N78" i="28"/>
  <c r="M78" i="28"/>
  <c r="L78" i="28"/>
  <c r="K78" i="28"/>
  <c r="I78" i="28"/>
  <c r="H78" i="28"/>
  <c r="G78" i="28"/>
  <c r="E78" i="28"/>
  <c r="D78" i="28"/>
  <c r="N77" i="28"/>
  <c r="M77" i="28"/>
  <c r="L77" i="28"/>
  <c r="K77" i="28"/>
  <c r="I77" i="28"/>
  <c r="H77" i="28"/>
  <c r="G77" i="28"/>
  <c r="E77" i="28"/>
  <c r="D77" i="28"/>
  <c r="N76" i="28"/>
  <c r="M76" i="28"/>
  <c r="L76" i="28"/>
  <c r="K76" i="28"/>
  <c r="I76" i="28"/>
  <c r="H76" i="28"/>
  <c r="G76" i="28"/>
  <c r="E76" i="28"/>
  <c r="D76" i="28"/>
  <c r="N75" i="28"/>
  <c r="M75" i="28"/>
  <c r="L75" i="28"/>
  <c r="K75" i="28"/>
  <c r="I75" i="28"/>
  <c r="H75" i="28"/>
  <c r="G75" i="28"/>
  <c r="E75" i="28"/>
  <c r="D75" i="28"/>
  <c r="N74" i="28"/>
  <c r="M74" i="28"/>
  <c r="L74" i="28"/>
  <c r="K74" i="28"/>
  <c r="I74" i="28"/>
  <c r="H74" i="28"/>
  <c r="G74" i="28"/>
  <c r="E74" i="28"/>
  <c r="D74" i="28"/>
  <c r="N73" i="28"/>
  <c r="M73" i="28"/>
  <c r="L73" i="28"/>
  <c r="K73" i="28"/>
  <c r="I73" i="28"/>
  <c r="H73" i="28"/>
  <c r="G73" i="28"/>
  <c r="E73" i="28"/>
  <c r="D73" i="28"/>
  <c r="N72" i="28"/>
  <c r="M72" i="28"/>
  <c r="L72" i="28"/>
  <c r="K72" i="28"/>
  <c r="I72" i="28"/>
  <c r="H72" i="28"/>
  <c r="G72" i="28"/>
  <c r="E72" i="28"/>
  <c r="D72" i="28"/>
  <c r="N71" i="28"/>
  <c r="M71" i="28"/>
  <c r="L71" i="28"/>
  <c r="K71" i="28"/>
  <c r="I71" i="28"/>
  <c r="H71" i="28"/>
  <c r="G71" i="28"/>
  <c r="E71" i="28"/>
  <c r="D71" i="28"/>
  <c r="N65" i="28"/>
  <c r="M65" i="28"/>
  <c r="L65" i="28"/>
  <c r="K65" i="28"/>
  <c r="I65" i="28"/>
  <c r="H65" i="28"/>
  <c r="G65" i="28"/>
  <c r="E65" i="28"/>
  <c r="D65" i="28"/>
  <c r="N64" i="28"/>
  <c r="M64" i="28"/>
  <c r="L64" i="28"/>
  <c r="K64" i="28"/>
  <c r="I64" i="28"/>
  <c r="H64" i="28"/>
  <c r="G64" i="28"/>
  <c r="E64" i="28"/>
  <c r="D64" i="28"/>
  <c r="N63" i="28"/>
  <c r="M63" i="28"/>
  <c r="L63" i="28"/>
  <c r="K63" i="28"/>
  <c r="I63" i="28"/>
  <c r="H63" i="28"/>
  <c r="G63" i="28"/>
  <c r="E63" i="28"/>
  <c r="D63" i="28"/>
  <c r="N62" i="28"/>
  <c r="M62" i="28"/>
  <c r="L62" i="28"/>
  <c r="K62" i="28"/>
  <c r="I62" i="28"/>
  <c r="H62" i="28"/>
  <c r="G62" i="28"/>
  <c r="E62" i="28"/>
  <c r="D62" i="28"/>
  <c r="N61" i="28"/>
  <c r="M61" i="28"/>
  <c r="L61" i="28"/>
  <c r="K61" i="28"/>
  <c r="I61" i="28"/>
  <c r="H61" i="28"/>
  <c r="G61" i="28"/>
  <c r="E61" i="28"/>
  <c r="D61" i="28"/>
  <c r="N60" i="28"/>
  <c r="M60" i="28"/>
  <c r="L60" i="28"/>
  <c r="K60" i="28"/>
  <c r="I60" i="28"/>
  <c r="H60" i="28"/>
  <c r="G60" i="28"/>
  <c r="E60" i="28"/>
  <c r="D60" i="28"/>
  <c r="N59" i="28"/>
  <c r="M59" i="28"/>
  <c r="L59" i="28"/>
  <c r="K59" i="28"/>
  <c r="I59" i="28"/>
  <c r="H59" i="28"/>
  <c r="G59" i="28"/>
  <c r="E59" i="28"/>
  <c r="D59" i="28"/>
  <c r="N58" i="28"/>
  <c r="M58" i="28"/>
  <c r="L58" i="28"/>
  <c r="K58" i="28"/>
  <c r="I58" i="28"/>
  <c r="H58" i="28"/>
  <c r="G58" i="28"/>
  <c r="E58" i="28"/>
  <c r="D58" i="28"/>
  <c r="N57" i="28"/>
  <c r="M57" i="28"/>
  <c r="L57" i="28"/>
  <c r="K57" i="28"/>
  <c r="I57" i="28"/>
  <c r="H57" i="28"/>
  <c r="G57" i="28"/>
  <c r="E57" i="28"/>
  <c r="D57" i="28"/>
  <c r="N56" i="28"/>
  <c r="M56" i="28"/>
  <c r="L56" i="28"/>
  <c r="K56" i="28"/>
  <c r="I56" i="28"/>
  <c r="H56" i="28"/>
  <c r="G56" i="28"/>
  <c r="E56" i="28"/>
  <c r="D56" i="28"/>
  <c r="N55" i="28"/>
  <c r="M55" i="28"/>
  <c r="L55" i="28"/>
  <c r="K55" i="28"/>
  <c r="I55" i="28"/>
  <c r="H55" i="28"/>
  <c r="G55" i="28"/>
  <c r="E55" i="28"/>
  <c r="D55" i="28"/>
  <c r="N54" i="28"/>
  <c r="M54" i="28"/>
  <c r="L54" i="28"/>
  <c r="K54" i="28"/>
  <c r="I54" i="28"/>
  <c r="H54" i="28"/>
  <c r="G54" i="28"/>
  <c r="E54" i="28"/>
  <c r="D54" i="28"/>
  <c r="N48" i="28"/>
  <c r="M48" i="28"/>
  <c r="L48" i="28"/>
  <c r="K48" i="28"/>
  <c r="I48" i="28"/>
  <c r="H48" i="28"/>
  <c r="G48" i="28"/>
  <c r="E48" i="28"/>
  <c r="D48" i="28"/>
  <c r="N47" i="28"/>
  <c r="M47" i="28"/>
  <c r="L47" i="28"/>
  <c r="K47" i="28"/>
  <c r="I47" i="28"/>
  <c r="H47" i="28"/>
  <c r="G47" i="28"/>
  <c r="E47" i="28"/>
  <c r="D47" i="28"/>
  <c r="N46" i="28"/>
  <c r="M46" i="28"/>
  <c r="L46" i="28"/>
  <c r="K46" i="28"/>
  <c r="I46" i="28"/>
  <c r="H46" i="28"/>
  <c r="G46" i="28"/>
  <c r="E46" i="28"/>
  <c r="D46" i="28"/>
  <c r="N45" i="28"/>
  <c r="M45" i="28"/>
  <c r="L45" i="28"/>
  <c r="K45" i="28"/>
  <c r="I45" i="28"/>
  <c r="H45" i="28"/>
  <c r="G45" i="28"/>
  <c r="E45" i="28"/>
  <c r="D45" i="28"/>
  <c r="N44" i="28"/>
  <c r="M44" i="28"/>
  <c r="L44" i="28"/>
  <c r="K44" i="28"/>
  <c r="I44" i="28"/>
  <c r="H44" i="28"/>
  <c r="G44" i="28"/>
  <c r="E44" i="28"/>
  <c r="D44" i="28"/>
  <c r="N43" i="28"/>
  <c r="M43" i="28"/>
  <c r="L43" i="28"/>
  <c r="K43" i="28"/>
  <c r="I43" i="28"/>
  <c r="H43" i="28"/>
  <c r="G43" i="28"/>
  <c r="E43" i="28"/>
  <c r="D43" i="28"/>
  <c r="N42" i="28"/>
  <c r="M42" i="28"/>
  <c r="L42" i="28"/>
  <c r="K42" i="28"/>
  <c r="I42" i="28"/>
  <c r="H42" i="28"/>
  <c r="G42" i="28"/>
  <c r="E42" i="28"/>
  <c r="D42" i="28"/>
  <c r="N41" i="28"/>
  <c r="M41" i="28"/>
  <c r="L41" i="28"/>
  <c r="K41" i="28"/>
  <c r="I41" i="28"/>
  <c r="H41" i="28"/>
  <c r="G41" i="28"/>
  <c r="E41" i="28"/>
  <c r="D41" i="28"/>
  <c r="N40" i="28"/>
  <c r="M40" i="28"/>
  <c r="L40" i="28"/>
  <c r="K40" i="28"/>
  <c r="I40" i="28"/>
  <c r="H40" i="28"/>
  <c r="G40" i="28"/>
  <c r="E40" i="28"/>
  <c r="C49" i="28" s="1"/>
  <c r="D40" i="28"/>
  <c r="N39" i="28"/>
  <c r="M39" i="28"/>
  <c r="L39" i="28"/>
  <c r="K39" i="28"/>
  <c r="I39" i="28"/>
  <c r="H39" i="28"/>
  <c r="G39" i="28"/>
  <c r="E39" i="28"/>
  <c r="D39" i="28"/>
  <c r="N38" i="28"/>
  <c r="M38" i="28"/>
  <c r="L38" i="28"/>
  <c r="K38" i="28"/>
  <c r="I38" i="28"/>
  <c r="H38" i="28"/>
  <c r="G38" i="28"/>
  <c r="E38" i="28"/>
  <c r="D38" i="28"/>
  <c r="N37" i="28"/>
  <c r="M37" i="28"/>
  <c r="L37" i="28"/>
  <c r="K37" i="28"/>
  <c r="I37" i="28"/>
  <c r="H37" i="28"/>
  <c r="G37" i="28"/>
  <c r="E37" i="28"/>
  <c r="D37" i="28"/>
  <c r="N31" i="28"/>
  <c r="M31" i="28"/>
  <c r="L31" i="28"/>
  <c r="K31" i="28"/>
  <c r="I31" i="28"/>
  <c r="H31" i="28"/>
  <c r="G31" i="28"/>
  <c r="E31" i="28"/>
  <c r="D31" i="28"/>
  <c r="N30" i="28"/>
  <c r="M30" i="28"/>
  <c r="L30" i="28"/>
  <c r="K30" i="28"/>
  <c r="I30" i="28"/>
  <c r="H30" i="28"/>
  <c r="G30" i="28"/>
  <c r="E30" i="28"/>
  <c r="D30" i="28"/>
  <c r="N29" i="28"/>
  <c r="M29" i="28"/>
  <c r="L29" i="28"/>
  <c r="K29" i="28"/>
  <c r="I29" i="28"/>
  <c r="H29" i="28"/>
  <c r="G29" i="28"/>
  <c r="E29" i="28"/>
  <c r="D29" i="28"/>
  <c r="N28" i="28"/>
  <c r="M28" i="28"/>
  <c r="L28" i="28"/>
  <c r="K28" i="28"/>
  <c r="I28" i="28"/>
  <c r="H28" i="28"/>
  <c r="G28" i="28"/>
  <c r="E28" i="28"/>
  <c r="D28" i="28"/>
  <c r="N27" i="28"/>
  <c r="M27" i="28"/>
  <c r="L27" i="28"/>
  <c r="K27" i="28"/>
  <c r="I27" i="28"/>
  <c r="H27" i="28"/>
  <c r="G27" i="28"/>
  <c r="E27" i="28"/>
  <c r="D27" i="28"/>
  <c r="N26" i="28"/>
  <c r="M26" i="28"/>
  <c r="L26" i="28"/>
  <c r="K26" i="28"/>
  <c r="I26" i="28"/>
  <c r="H26" i="28"/>
  <c r="G26" i="28"/>
  <c r="E26" i="28"/>
  <c r="D26" i="28"/>
  <c r="N25" i="28"/>
  <c r="M25" i="28"/>
  <c r="L25" i="28"/>
  <c r="K25" i="28"/>
  <c r="I25" i="28"/>
  <c r="H25" i="28"/>
  <c r="G25" i="28"/>
  <c r="E25" i="28"/>
  <c r="D25" i="28"/>
  <c r="N24" i="28"/>
  <c r="M24" i="28"/>
  <c r="L24" i="28"/>
  <c r="K24" i="28"/>
  <c r="I24" i="28"/>
  <c r="H24" i="28"/>
  <c r="G24" i="28"/>
  <c r="E24" i="28"/>
  <c r="D24" i="28"/>
  <c r="N23" i="28"/>
  <c r="M23" i="28"/>
  <c r="L23" i="28"/>
  <c r="K23" i="28"/>
  <c r="I23" i="28"/>
  <c r="H23" i="28"/>
  <c r="G23" i="28"/>
  <c r="E23" i="28"/>
  <c r="D23" i="28"/>
  <c r="N22" i="28"/>
  <c r="M22" i="28"/>
  <c r="L22" i="28"/>
  <c r="K22" i="28"/>
  <c r="I22" i="28"/>
  <c r="H22" i="28"/>
  <c r="G22" i="28"/>
  <c r="E22" i="28"/>
  <c r="D22" i="28"/>
  <c r="N21" i="28"/>
  <c r="M21" i="28"/>
  <c r="L21" i="28"/>
  <c r="K21" i="28"/>
  <c r="I21" i="28"/>
  <c r="H21" i="28"/>
  <c r="G21" i="28"/>
  <c r="E21" i="28"/>
  <c r="D21" i="28"/>
  <c r="N20" i="28"/>
  <c r="M20" i="28"/>
  <c r="L20" i="28"/>
  <c r="K20" i="28"/>
  <c r="I20" i="28"/>
  <c r="H20" i="28"/>
  <c r="G20" i="28"/>
  <c r="E20" i="28"/>
  <c r="D20" i="28"/>
  <c r="N14" i="28"/>
  <c r="M14" i="28"/>
  <c r="L14" i="28"/>
  <c r="K14" i="28"/>
  <c r="I14" i="28"/>
  <c r="H14" i="28"/>
  <c r="G14" i="28"/>
  <c r="E14" i="28"/>
  <c r="D14" i="28"/>
  <c r="N13" i="28"/>
  <c r="M13" i="28"/>
  <c r="L13" i="28"/>
  <c r="K13" i="28"/>
  <c r="I13" i="28"/>
  <c r="H13" i="28"/>
  <c r="G13" i="28"/>
  <c r="E13" i="28"/>
  <c r="D13" i="28"/>
  <c r="N12" i="28"/>
  <c r="M12" i="28"/>
  <c r="L12" i="28"/>
  <c r="K12" i="28"/>
  <c r="I12" i="28"/>
  <c r="H12" i="28"/>
  <c r="G12" i="28"/>
  <c r="E12" i="28"/>
  <c r="D12" i="28"/>
  <c r="N11" i="28"/>
  <c r="M11" i="28"/>
  <c r="L11" i="28"/>
  <c r="K11" i="28"/>
  <c r="I11" i="28"/>
  <c r="H11" i="28"/>
  <c r="G11" i="28"/>
  <c r="E11" i="28"/>
  <c r="D11" i="28"/>
  <c r="N10" i="28"/>
  <c r="M10" i="28"/>
  <c r="L10" i="28"/>
  <c r="K10" i="28"/>
  <c r="I10" i="28"/>
  <c r="H10" i="28"/>
  <c r="G10" i="28"/>
  <c r="E10" i="28"/>
  <c r="D10" i="28"/>
  <c r="N9" i="28"/>
  <c r="M9" i="28"/>
  <c r="L9" i="28"/>
  <c r="K9" i="28"/>
  <c r="I9" i="28"/>
  <c r="H9" i="28"/>
  <c r="G9" i="28"/>
  <c r="E9" i="28"/>
  <c r="D9" i="28"/>
  <c r="N8" i="28"/>
  <c r="M8" i="28"/>
  <c r="L8" i="28"/>
  <c r="K8" i="28"/>
  <c r="I8" i="28"/>
  <c r="H8" i="28"/>
  <c r="G8" i="28"/>
  <c r="E8" i="28"/>
  <c r="D8" i="28"/>
  <c r="N7" i="28"/>
  <c r="M7" i="28"/>
  <c r="L7" i="28"/>
  <c r="K7" i="28"/>
  <c r="I7" i="28"/>
  <c r="H7" i="28"/>
  <c r="G7" i="28"/>
  <c r="E7" i="28"/>
  <c r="D7" i="28"/>
  <c r="N6" i="28"/>
  <c r="M6" i="28"/>
  <c r="L6" i="28"/>
  <c r="K6" i="28"/>
  <c r="I6" i="28"/>
  <c r="H6" i="28"/>
  <c r="G6" i="28"/>
  <c r="E6" i="28"/>
  <c r="D6" i="28"/>
  <c r="N5" i="28"/>
  <c r="M5" i="28"/>
  <c r="L5" i="28"/>
  <c r="K5" i="28"/>
  <c r="I5" i="28"/>
  <c r="H5" i="28"/>
  <c r="G5" i="28"/>
  <c r="E5" i="28"/>
  <c r="D5" i="28"/>
  <c r="N114" i="27"/>
  <c r="M114" i="27"/>
  <c r="L114" i="27"/>
  <c r="K114" i="27"/>
  <c r="I114" i="27"/>
  <c r="H114" i="27"/>
  <c r="G114" i="27"/>
  <c r="E114" i="27"/>
  <c r="D114" i="27"/>
  <c r="N113" i="27"/>
  <c r="M113" i="27"/>
  <c r="L113" i="27"/>
  <c r="K113" i="27"/>
  <c r="I113" i="27"/>
  <c r="H113" i="27"/>
  <c r="G113" i="27"/>
  <c r="E113" i="27"/>
  <c r="D113" i="27"/>
  <c r="N112" i="27"/>
  <c r="M112" i="27"/>
  <c r="L112" i="27"/>
  <c r="K112" i="27"/>
  <c r="I112" i="27"/>
  <c r="H112" i="27"/>
  <c r="G112" i="27"/>
  <c r="E112" i="27"/>
  <c r="D112" i="27"/>
  <c r="N111" i="27"/>
  <c r="M111" i="27"/>
  <c r="L111" i="27"/>
  <c r="K111" i="27"/>
  <c r="I111" i="27"/>
  <c r="H111" i="27"/>
  <c r="G111" i="27"/>
  <c r="E111" i="27"/>
  <c r="D111" i="27"/>
  <c r="N110" i="27"/>
  <c r="M110" i="27"/>
  <c r="L110" i="27"/>
  <c r="K110" i="27"/>
  <c r="I110" i="27"/>
  <c r="H110" i="27"/>
  <c r="G110" i="27"/>
  <c r="E110" i="27"/>
  <c r="D110" i="27"/>
  <c r="N109" i="27"/>
  <c r="M109" i="27"/>
  <c r="L109" i="27"/>
  <c r="K109" i="27"/>
  <c r="I109" i="27"/>
  <c r="H109" i="27"/>
  <c r="G109" i="27"/>
  <c r="E109" i="27"/>
  <c r="D109" i="27"/>
  <c r="N108" i="27"/>
  <c r="M108" i="27"/>
  <c r="L108" i="27"/>
  <c r="K108" i="27"/>
  <c r="I108" i="27"/>
  <c r="H108" i="27"/>
  <c r="G108" i="27"/>
  <c r="E108" i="27"/>
  <c r="D108" i="27"/>
  <c r="N107" i="27"/>
  <c r="M107" i="27"/>
  <c r="L107" i="27"/>
  <c r="K107" i="27"/>
  <c r="I107" i="27"/>
  <c r="H107" i="27"/>
  <c r="G107" i="27"/>
  <c r="E107" i="27"/>
  <c r="D107" i="27"/>
  <c r="N106" i="27"/>
  <c r="M106" i="27"/>
  <c r="L106" i="27"/>
  <c r="K106" i="27"/>
  <c r="I106" i="27"/>
  <c r="H106" i="27"/>
  <c r="G106" i="27"/>
  <c r="E106" i="27"/>
  <c r="D106" i="27"/>
  <c r="N105" i="27"/>
  <c r="M105" i="27"/>
  <c r="L105" i="27"/>
  <c r="K105" i="27"/>
  <c r="I105" i="27"/>
  <c r="H105" i="27"/>
  <c r="G105" i="27"/>
  <c r="E105" i="27"/>
  <c r="D105" i="27"/>
  <c r="N104" i="27"/>
  <c r="M104" i="27"/>
  <c r="L104" i="27"/>
  <c r="K104" i="27"/>
  <c r="I104" i="27"/>
  <c r="H104" i="27"/>
  <c r="G104" i="27"/>
  <c r="E104" i="27"/>
  <c r="D104" i="27"/>
  <c r="N103" i="27"/>
  <c r="M103" i="27"/>
  <c r="L103" i="27"/>
  <c r="K103" i="27"/>
  <c r="I103" i="27"/>
  <c r="H103" i="27"/>
  <c r="G103" i="27"/>
  <c r="E103" i="27"/>
  <c r="D103" i="27"/>
  <c r="N97" i="27"/>
  <c r="M97" i="27"/>
  <c r="L97" i="27"/>
  <c r="K97" i="27"/>
  <c r="I97" i="27"/>
  <c r="H97" i="27"/>
  <c r="G97" i="27"/>
  <c r="E97" i="27"/>
  <c r="D97" i="27"/>
  <c r="N96" i="27"/>
  <c r="M96" i="27"/>
  <c r="L96" i="27"/>
  <c r="K96" i="27"/>
  <c r="I96" i="27"/>
  <c r="H96" i="27"/>
  <c r="G96" i="27"/>
  <c r="E96" i="27"/>
  <c r="D96" i="27"/>
  <c r="N95" i="27"/>
  <c r="M95" i="27"/>
  <c r="L95" i="27"/>
  <c r="K95" i="27"/>
  <c r="I95" i="27"/>
  <c r="H95" i="27"/>
  <c r="G95" i="27"/>
  <c r="E95" i="27"/>
  <c r="D95" i="27"/>
  <c r="N94" i="27"/>
  <c r="M94" i="27"/>
  <c r="L94" i="27"/>
  <c r="K94" i="27"/>
  <c r="I94" i="27"/>
  <c r="H94" i="27"/>
  <c r="G94" i="27"/>
  <c r="E94" i="27"/>
  <c r="D94" i="27"/>
  <c r="N93" i="27"/>
  <c r="M93" i="27"/>
  <c r="L93" i="27"/>
  <c r="K93" i="27"/>
  <c r="I93" i="27"/>
  <c r="H93" i="27"/>
  <c r="G93" i="27"/>
  <c r="E93" i="27"/>
  <c r="D93" i="27"/>
  <c r="N92" i="27"/>
  <c r="M92" i="27"/>
  <c r="L92" i="27"/>
  <c r="K92" i="27"/>
  <c r="I92" i="27"/>
  <c r="H92" i="27"/>
  <c r="G92" i="27"/>
  <c r="E92" i="27"/>
  <c r="D92" i="27"/>
  <c r="N91" i="27"/>
  <c r="M91" i="27"/>
  <c r="L91" i="27"/>
  <c r="K91" i="27"/>
  <c r="I91" i="27"/>
  <c r="H91" i="27"/>
  <c r="G91" i="27"/>
  <c r="E91" i="27"/>
  <c r="D91" i="27"/>
  <c r="N90" i="27"/>
  <c r="M90" i="27"/>
  <c r="L90" i="27"/>
  <c r="K90" i="27"/>
  <c r="I90" i="27"/>
  <c r="H90" i="27"/>
  <c r="G90" i="27"/>
  <c r="E90" i="27"/>
  <c r="D90" i="27"/>
  <c r="N89" i="27"/>
  <c r="M89" i="27"/>
  <c r="L89" i="27"/>
  <c r="K89" i="27"/>
  <c r="I89" i="27"/>
  <c r="H89" i="27"/>
  <c r="G89" i="27"/>
  <c r="E89" i="27"/>
  <c r="D89" i="27"/>
  <c r="N88" i="27"/>
  <c r="M88" i="27"/>
  <c r="L88" i="27"/>
  <c r="K88" i="27"/>
  <c r="I88" i="27"/>
  <c r="H88" i="27"/>
  <c r="G88" i="27"/>
  <c r="E88" i="27"/>
  <c r="D88" i="27"/>
  <c r="N87" i="27"/>
  <c r="M87" i="27"/>
  <c r="L87" i="27"/>
  <c r="K87" i="27"/>
  <c r="I87" i="27"/>
  <c r="H87" i="27"/>
  <c r="G87" i="27"/>
  <c r="E87" i="27"/>
  <c r="D87" i="27"/>
  <c r="N86" i="27"/>
  <c r="M86" i="27"/>
  <c r="L86" i="27"/>
  <c r="K86" i="27"/>
  <c r="I86" i="27"/>
  <c r="H86" i="27"/>
  <c r="G86" i="27"/>
  <c r="E86" i="27"/>
  <c r="D86" i="27"/>
  <c r="N80" i="27"/>
  <c r="M80" i="27"/>
  <c r="L80" i="27"/>
  <c r="K80" i="27"/>
  <c r="I80" i="27"/>
  <c r="H80" i="27"/>
  <c r="G80" i="27"/>
  <c r="E80" i="27"/>
  <c r="D80" i="27"/>
  <c r="N79" i="27"/>
  <c r="M79" i="27"/>
  <c r="L79" i="27"/>
  <c r="K79" i="27"/>
  <c r="I79" i="27"/>
  <c r="H79" i="27"/>
  <c r="G79" i="27"/>
  <c r="E79" i="27"/>
  <c r="D79" i="27"/>
  <c r="N78" i="27"/>
  <c r="M78" i="27"/>
  <c r="L78" i="27"/>
  <c r="K78" i="27"/>
  <c r="I78" i="27"/>
  <c r="H78" i="27"/>
  <c r="G78" i="27"/>
  <c r="E78" i="27"/>
  <c r="D78" i="27"/>
  <c r="N77" i="27"/>
  <c r="M77" i="27"/>
  <c r="L77" i="27"/>
  <c r="K77" i="27"/>
  <c r="I77" i="27"/>
  <c r="H77" i="27"/>
  <c r="G77" i="27"/>
  <c r="E77" i="27"/>
  <c r="D77" i="27"/>
  <c r="N76" i="27"/>
  <c r="M76" i="27"/>
  <c r="L76" i="27"/>
  <c r="K76" i="27"/>
  <c r="I76" i="27"/>
  <c r="H76" i="27"/>
  <c r="G76" i="27"/>
  <c r="E76" i="27"/>
  <c r="D76" i="27"/>
  <c r="N75" i="27"/>
  <c r="M75" i="27"/>
  <c r="L75" i="27"/>
  <c r="K75" i="27"/>
  <c r="I75" i="27"/>
  <c r="H75" i="27"/>
  <c r="G75" i="27"/>
  <c r="E75" i="27"/>
  <c r="D75" i="27"/>
  <c r="N74" i="27"/>
  <c r="M74" i="27"/>
  <c r="L74" i="27"/>
  <c r="K74" i="27"/>
  <c r="I74" i="27"/>
  <c r="H74" i="27"/>
  <c r="G74" i="27"/>
  <c r="E74" i="27"/>
  <c r="D74" i="27"/>
  <c r="N73" i="27"/>
  <c r="M73" i="27"/>
  <c r="L73" i="27"/>
  <c r="K73" i="27"/>
  <c r="I73" i="27"/>
  <c r="H73" i="27"/>
  <c r="G73" i="27"/>
  <c r="E73" i="27"/>
  <c r="D73" i="27"/>
  <c r="N72" i="27"/>
  <c r="M72" i="27"/>
  <c r="L72" i="27"/>
  <c r="K72" i="27"/>
  <c r="I72" i="27"/>
  <c r="H72" i="27"/>
  <c r="G72" i="27"/>
  <c r="E72" i="27"/>
  <c r="D72" i="27"/>
  <c r="N71" i="27"/>
  <c r="M71" i="27"/>
  <c r="L71" i="27"/>
  <c r="K71" i="27"/>
  <c r="I71" i="27"/>
  <c r="H71" i="27"/>
  <c r="G71" i="27"/>
  <c r="E71" i="27"/>
  <c r="D71" i="27"/>
  <c r="N65" i="27"/>
  <c r="M65" i="27"/>
  <c r="L65" i="27"/>
  <c r="K65" i="27"/>
  <c r="I65" i="27"/>
  <c r="H65" i="27"/>
  <c r="G65" i="27"/>
  <c r="E65" i="27"/>
  <c r="D65" i="27"/>
  <c r="N64" i="27"/>
  <c r="M64" i="27"/>
  <c r="L64" i="27"/>
  <c r="K64" i="27"/>
  <c r="I64" i="27"/>
  <c r="H64" i="27"/>
  <c r="G64" i="27"/>
  <c r="E64" i="27"/>
  <c r="D64" i="27"/>
  <c r="N63" i="27"/>
  <c r="M63" i="27"/>
  <c r="L63" i="27"/>
  <c r="K63" i="27"/>
  <c r="I63" i="27"/>
  <c r="H63" i="27"/>
  <c r="G63" i="27"/>
  <c r="E63" i="27"/>
  <c r="D63" i="27"/>
  <c r="N62" i="27"/>
  <c r="M62" i="27"/>
  <c r="L62" i="27"/>
  <c r="K62" i="27"/>
  <c r="I62" i="27"/>
  <c r="H62" i="27"/>
  <c r="G62" i="27"/>
  <c r="E62" i="27"/>
  <c r="D62" i="27"/>
  <c r="N61" i="27"/>
  <c r="M61" i="27"/>
  <c r="L61" i="27"/>
  <c r="K61" i="27"/>
  <c r="I61" i="27"/>
  <c r="H61" i="27"/>
  <c r="G61" i="27"/>
  <c r="E61" i="27"/>
  <c r="D61" i="27"/>
  <c r="N60" i="27"/>
  <c r="M60" i="27"/>
  <c r="L60" i="27"/>
  <c r="K60" i="27"/>
  <c r="I60" i="27"/>
  <c r="H60" i="27"/>
  <c r="G60" i="27"/>
  <c r="E60" i="27"/>
  <c r="D60" i="27"/>
  <c r="N59" i="27"/>
  <c r="M59" i="27"/>
  <c r="L59" i="27"/>
  <c r="K59" i="27"/>
  <c r="I59" i="27"/>
  <c r="H59" i="27"/>
  <c r="G59" i="27"/>
  <c r="E59" i="27"/>
  <c r="D59" i="27"/>
  <c r="N58" i="27"/>
  <c r="M58" i="27"/>
  <c r="L58" i="27"/>
  <c r="K58" i="27"/>
  <c r="I58" i="27"/>
  <c r="H58" i="27"/>
  <c r="G58" i="27"/>
  <c r="E58" i="27"/>
  <c r="D58" i="27"/>
  <c r="N57" i="27"/>
  <c r="M57" i="27"/>
  <c r="L57" i="27"/>
  <c r="K57" i="27"/>
  <c r="I57" i="27"/>
  <c r="H57" i="27"/>
  <c r="G57" i="27"/>
  <c r="E57" i="27"/>
  <c r="D57" i="27"/>
  <c r="N56" i="27"/>
  <c r="M56" i="27"/>
  <c r="L56" i="27"/>
  <c r="K56" i="27"/>
  <c r="I56" i="27"/>
  <c r="H56" i="27"/>
  <c r="G56" i="27"/>
  <c r="E56" i="27"/>
  <c r="D56" i="27"/>
  <c r="N55" i="27"/>
  <c r="M55" i="27"/>
  <c r="L55" i="27"/>
  <c r="K55" i="27"/>
  <c r="I55" i="27"/>
  <c r="H55" i="27"/>
  <c r="G55" i="27"/>
  <c r="E55" i="27"/>
  <c r="D55" i="27"/>
  <c r="N54" i="27"/>
  <c r="M54" i="27"/>
  <c r="L54" i="27"/>
  <c r="K54" i="27"/>
  <c r="I54" i="27"/>
  <c r="H54" i="27"/>
  <c r="G54" i="27"/>
  <c r="E54" i="27"/>
  <c r="D54" i="27"/>
  <c r="N48" i="27"/>
  <c r="M48" i="27"/>
  <c r="L48" i="27"/>
  <c r="K48" i="27"/>
  <c r="I48" i="27"/>
  <c r="H48" i="27"/>
  <c r="G48" i="27"/>
  <c r="E48" i="27"/>
  <c r="D48" i="27"/>
  <c r="N47" i="27"/>
  <c r="M47" i="27"/>
  <c r="L47" i="27"/>
  <c r="K47" i="27"/>
  <c r="I47" i="27"/>
  <c r="H47" i="27"/>
  <c r="G47" i="27"/>
  <c r="E47" i="27"/>
  <c r="D47" i="27"/>
  <c r="N46" i="27"/>
  <c r="M46" i="27"/>
  <c r="L46" i="27"/>
  <c r="K46" i="27"/>
  <c r="I46" i="27"/>
  <c r="H46" i="27"/>
  <c r="G46" i="27"/>
  <c r="E46" i="27"/>
  <c r="D46" i="27"/>
  <c r="N45" i="27"/>
  <c r="M45" i="27"/>
  <c r="L45" i="27"/>
  <c r="K45" i="27"/>
  <c r="I45" i="27"/>
  <c r="H45" i="27"/>
  <c r="G45" i="27"/>
  <c r="E45" i="27"/>
  <c r="D45" i="27"/>
  <c r="N44" i="27"/>
  <c r="M44" i="27"/>
  <c r="L44" i="27"/>
  <c r="K44" i="27"/>
  <c r="I44" i="27"/>
  <c r="H44" i="27"/>
  <c r="G44" i="27"/>
  <c r="E44" i="27"/>
  <c r="D44" i="27"/>
  <c r="N43" i="27"/>
  <c r="M43" i="27"/>
  <c r="L43" i="27"/>
  <c r="K43" i="27"/>
  <c r="I43" i="27"/>
  <c r="H43" i="27"/>
  <c r="G43" i="27"/>
  <c r="E43" i="27"/>
  <c r="D43" i="27"/>
  <c r="N42" i="27"/>
  <c r="M42" i="27"/>
  <c r="L42" i="27"/>
  <c r="K42" i="27"/>
  <c r="I42" i="27"/>
  <c r="H42" i="27"/>
  <c r="G42" i="27"/>
  <c r="E42" i="27"/>
  <c r="D42" i="27"/>
  <c r="N41" i="27"/>
  <c r="M41" i="27"/>
  <c r="L41" i="27"/>
  <c r="K41" i="27"/>
  <c r="I41" i="27"/>
  <c r="H41" i="27"/>
  <c r="G41" i="27"/>
  <c r="E41" i="27"/>
  <c r="D41" i="27"/>
  <c r="N40" i="27"/>
  <c r="M40" i="27"/>
  <c r="L40" i="27"/>
  <c r="K40" i="27"/>
  <c r="I40" i="27"/>
  <c r="H40" i="27"/>
  <c r="G40" i="27"/>
  <c r="E40" i="27"/>
  <c r="C49" i="27" s="1"/>
  <c r="D40" i="27"/>
  <c r="N39" i="27"/>
  <c r="M39" i="27"/>
  <c r="L39" i="27"/>
  <c r="K39" i="27"/>
  <c r="I39" i="27"/>
  <c r="H39" i="27"/>
  <c r="G39" i="27"/>
  <c r="E39" i="27"/>
  <c r="D39" i="27"/>
  <c r="N38" i="27"/>
  <c r="M38" i="27"/>
  <c r="L38" i="27"/>
  <c r="K38" i="27"/>
  <c r="I38" i="27"/>
  <c r="H38" i="27"/>
  <c r="G38" i="27"/>
  <c r="E38" i="27"/>
  <c r="D38" i="27"/>
  <c r="N37" i="27"/>
  <c r="M37" i="27"/>
  <c r="L37" i="27"/>
  <c r="K37" i="27"/>
  <c r="I37" i="27"/>
  <c r="H37" i="27"/>
  <c r="G37" i="27"/>
  <c r="E37" i="27"/>
  <c r="D37" i="27"/>
  <c r="N31" i="27"/>
  <c r="M31" i="27"/>
  <c r="L31" i="27"/>
  <c r="K31" i="27"/>
  <c r="I31" i="27"/>
  <c r="H31" i="27"/>
  <c r="G31" i="27"/>
  <c r="E31" i="27"/>
  <c r="D31" i="27"/>
  <c r="N30" i="27"/>
  <c r="M30" i="27"/>
  <c r="L30" i="27"/>
  <c r="K30" i="27"/>
  <c r="I30" i="27"/>
  <c r="H30" i="27"/>
  <c r="G30" i="27"/>
  <c r="E30" i="27"/>
  <c r="D30" i="27"/>
  <c r="N29" i="27"/>
  <c r="M29" i="27"/>
  <c r="L29" i="27"/>
  <c r="K29" i="27"/>
  <c r="I29" i="27"/>
  <c r="H29" i="27"/>
  <c r="G29" i="27"/>
  <c r="E29" i="27"/>
  <c r="D29" i="27"/>
  <c r="N28" i="27"/>
  <c r="M28" i="27"/>
  <c r="L28" i="27"/>
  <c r="K28" i="27"/>
  <c r="I28" i="27"/>
  <c r="H28" i="27"/>
  <c r="G28" i="27"/>
  <c r="E28" i="27"/>
  <c r="D28" i="27"/>
  <c r="N27" i="27"/>
  <c r="M27" i="27"/>
  <c r="L27" i="27"/>
  <c r="K27" i="27"/>
  <c r="I27" i="27"/>
  <c r="H27" i="27"/>
  <c r="G27" i="27"/>
  <c r="E27" i="27"/>
  <c r="D27" i="27"/>
  <c r="N26" i="27"/>
  <c r="M26" i="27"/>
  <c r="L26" i="27"/>
  <c r="K26" i="27"/>
  <c r="I26" i="27"/>
  <c r="H26" i="27"/>
  <c r="G26" i="27"/>
  <c r="E26" i="27"/>
  <c r="D26" i="27"/>
  <c r="N25" i="27"/>
  <c r="M25" i="27"/>
  <c r="L25" i="27"/>
  <c r="K25" i="27"/>
  <c r="I25" i="27"/>
  <c r="H25" i="27"/>
  <c r="G25" i="27"/>
  <c r="E25" i="27"/>
  <c r="D25" i="27"/>
  <c r="N24" i="27"/>
  <c r="M24" i="27"/>
  <c r="L24" i="27"/>
  <c r="K24" i="27"/>
  <c r="I24" i="27"/>
  <c r="H24" i="27"/>
  <c r="G24" i="27"/>
  <c r="E24" i="27"/>
  <c r="D24" i="27"/>
  <c r="N23" i="27"/>
  <c r="M23" i="27"/>
  <c r="L23" i="27"/>
  <c r="K23" i="27"/>
  <c r="I23" i="27"/>
  <c r="H23" i="27"/>
  <c r="G23" i="27"/>
  <c r="E23" i="27"/>
  <c r="D23" i="27"/>
  <c r="N22" i="27"/>
  <c r="M22" i="27"/>
  <c r="L22" i="27"/>
  <c r="K22" i="27"/>
  <c r="I22" i="27"/>
  <c r="H22" i="27"/>
  <c r="G22" i="27"/>
  <c r="E22" i="27"/>
  <c r="D22" i="27"/>
  <c r="N21" i="27"/>
  <c r="M21" i="27"/>
  <c r="L21" i="27"/>
  <c r="K21" i="27"/>
  <c r="I21" i="27"/>
  <c r="H21" i="27"/>
  <c r="G21" i="27"/>
  <c r="E21" i="27"/>
  <c r="D21" i="27"/>
  <c r="N20" i="27"/>
  <c r="M20" i="27"/>
  <c r="L20" i="27"/>
  <c r="K20" i="27"/>
  <c r="I20" i="27"/>
  <c r="H20" i="27"/>
  <c r="G20" i="27"/>
  <c r="E20" i="27"/>
  <c r="D20" i="27"/>
  <c r="N14" i="27"/>
  <c r="M14" i="27"/>
  <c r="L14" i="27"/>
  <c r="K14" i="27"/>
  <c r="I14" i="27"/>
  <c r="H14" i="27"/>
  <c r="G14" i="27"/>
  <c r="E14" i="27"/>
  <c r="D14" i="27"/>
  <c r="N13" i="27"/>
  <c r="M13" i="27"/>
  <c r="L13" i="27"/>
  <c r="K13" i="27"/>
  <c r="I13" i="27"/>
  <c r="H13" i="27"/>
  <c r="G13" i="27"/>
  <c r="E13" i="27"/>
  <c r="D13" i="27"/>
  <c r="N12" i="27"/>
  <c r="M12" i="27"/>
  <c r="L12" i="27"/>
  <c r="K12" i="27"/>
  <c r="I12" i="27"/>
  <c r="H12" i="27"/>
  <c r="G12" i="27"/>
  <c r="E12" i="27"/>
  <c r="D12" i="27"/>
  <c r="N11" i="27"/>
  <c r="M11" i="27"/>
  <c r="L11" i="27"/>
  <c r="K11" i="27"/>
  <c r="I11" i="27"/>
  <c r="H11" i="27"/>
  <c r="G11" i="27"/>
  <c r="E11" i="27"/>
  <c r="D11" i="27"/>
  <c r="N10" i="27"/>
  <c r="M10" i="27"/>
  <c r="L10" i="27"/>
  <c r="K10" i="27"/>
  <c r="I10" i="27"/>
  <c r="H10" i="27"/>
  <c r="G10" i="27"/>
  <c r="E10" i="27"/>
  <c r="D10" i="27"/>
  <c r="N9" i="27"/>
  <c r="M9" i="27"/>
  <c r="L9" i="27"/>
  <c r="K9" i="27"/>
  <c r="I9" i="27"/>
  <c r="H9" i="27"/>
  <c r="G9" i="27"/>
  <c r="E9" i="27"/>
  <c r="D9" i="27"/>
  <c r="N8" i="27"/>
  <c r="M8" i="27"/>
  <c r="L8" i="27"/>
  <c r="K8" i="27"/>
  <c r="I8" i="27"/>
  <c r="H8" i="27"/>
  <c r="G8" i="27"/>
  <c r="E8" i="27"/>
  <c r="D8" i="27"/>
  <c r="N7" i="27"/>
  <c r="M7" i="27"/>
  <c r="L7" i="27"/>
  <c r="K7" i="27"/>
  <c r="I7" i="27"/>
  <c r="H7" i="27"/>
  <c r="G7" i="27"/>
  <c r="E7" i="27"/>
  <c r="D7" i="27"/>
  <c r="N6" i="27"/>
  <c r="M6" i="27"/>
  <c r="L6" i="27"/>
  <c r="K6" i="27"/>
  <c r="I6" i="27"/>
  <c r="H6" i="27"/>
  <c r="G6" i="27"/>
  <c r="E6" i="27"/>
  <c r="D6" i="27"/>
  <c r="N5" i="27"/>
  <c r="M5" i="27"/>
  <c r="L5" i="27"/>
  <c r="K5" i="27"/>
  <c r="I5" i="27"/>
  <c r="H5" i="27"/>
  <c r="G5" i="27"/>
  <c r="E5" i="27"/>
  <c r="D5" i="27"/>
  <c r="N131" i="26"/>
  <c r="M131" i="26"/>
  <c r="L131" i="26"/>
  <c r="K131" i="26"/>
  <c r="I131" i="26"/>
  <c r="H131" i="26"/>
  <c r="G131" i="26"/>
  <c r="E131" i="26"/>
  <c r="D131" i="26"/>
  <c r="N130" i="26"/>
  <c r="M130" i="26"/>
  <c r="L130" i="26"/>
  <c r="K130" i="26"/>
  <c r="I130" i="26"/>
  <c r="H130" i="26"/>
  <c r="G130" i="26"/>
  <c r="E130" i="26"/>
  <c r="D130" i="26"/>
  <c r="N129" i="26"/>
  <c r="M129" i="26"/>
  <c r="L129" i="26"/>
  <c r="K129" i="26"/>
  <c r="I129" i="26"/>
  <c r="H129" i="26"/>
  <c r="G129" i="26"/>
  <c r="E129" i="26"/>
  <c r="D129" i="26"/>
  <c r="N128" i="26"/>
  <c r="M128" i="26"/>
  <c r="L128" i="26"/>
  <c r="K128" i="26"/>
  <c r="I128" i="26"/>
  <c r="H128" i="26"/>
  <c r="G128" i="26"/>
  <c r="E128" i="26"/>
  <c r="D128" i="26"/>
  <c r="N127" i="26"/>
  <c r="M127" i="26"/>
  <c r="L127" i="26"/>
  <c r="K127" i="26"/>
  <c r="I127" i="26"/>
  <c r="H127" i="26"/>
  <c r="G127" i="26"/>
  <c r="E127" i="26"/>
  <c r="D127" i="26"/>
  <c r="N126" i="26"/>
  <c r="M126" i="26"/>
  <c r="L126" i="26"/>
  <c r="K126" i="26"/>
  <c r="I126" i="26"/>
  <c r="H126" i="26"/>
  <c r="G126" i="26"/>
  <c r="E126" i="26"/>
  <c r="D126" i="26"/>
  <c r="N125" i="26"/>
  <c r="M125" i="26"/>
  <c r="L125" i="26"/>
  <c r="K125" i="26"/>
  <c r="I125" i="26"/>
  <c r="H125" i="26"/>
  <c r="G125" i="26"/>
  <c r="E125" i="26"/>
  <c r="D125" i="26"/>
  <c r="N124" i="26"/>
  <c r="M124" i="26"/>
  <c r="L124" i="26"/>
  <c r="K124" i="26"/>
  <c r="I124" i="26"/>
  <c r="H124" i="26"/>
  <c r="G124" i="26"/>
  <c r="E124" i="26"/>
  <c r="D124" i="26"/>
  <c r="N123" i="26"/>
  <c r="M123" i="26"/>
  <c r="L123" i="26"/>
  <c r="K123" i="26"/>
  <c r="I123" i="26"/>
  <c r="H123" i="26"/>
  <c r="G123" i="26"/>
  <c r="E123" i="26"/>
  <c r="D123" i="26"/>
  <c r="N122" i="26"/>
  <c r="M122" i="26"/>
  <c r="L122" i="26"/>
  <c r="K122" i="26"/>
  <c r="I122" i="26"/>
  <c r="H122" i="26"/>
  <c r="G122" i="26"/>
  <c r="E122" i="26"/>
  <c r="D122" i="26"/>
  <c r="N121" i="26"/>
  <c r="M121" i="26"/>
  <c r="L121" i="26"/>
  <c r="K121" i="26"/>
  <c r="I121" i="26"/>
  <c r="H121" i="26"/>
  <c r="G121" i="26"/>
  <c r="E121" i="26"/>
  <c r="D121" i="26"/>
  <c r="N120" i="26"/>
  <c r="M120" i="26"/>
  <c r="L120" i="26"/>
  <c r="K120" i="26"/>
  <c r="I120" i="26"/>
  <c r="H120" i="26"/>
  <c r="G120" i="26"/>
  <c r="E120" i="26"/>
  <c r="C132" i="26" s="1"/>
  <c r="D120" i="26"/>
  <c r="N114" i="26"/>
  <c r="M114" i="26"/>
  <c r="L114" i="26"/>
  <c r="K114" i="26"/>
  <c r="I114" i="26"/>
  <c r="H114" i="26"/>
  <c r="G114" i="26"/>
  <c r="E114" i="26"/>
  <c r="D114" i="26"/>
  <c r="N113" i="26"/>
  <c r="M113" i="26"/>
  <c r="L113" i="26"/>
  <c r="K113" i="26"/>
  <c r="I113" i="26"/>
  <c r="H113" i="26"/>
  <c r="G113" i="26"/>
  <c r="E113" i="26"/>
  <c r="D113" i="26"/>
  <c r="N112" i="26"/>
  <c r="M112" i="26"/>
  <c r="L112" i="26"/>
  <c r="K112" i="26"/>
  <c r="I112" i="26"/>
  <c r="H112" i="26"/>
  <c r="G112" i="26"/>
  <c r="E112" i="26"/>
  <c r="D112" i="26"/>
  <c r="N111" i="26"/>
  <c r="M111" i="26"/>
  <c r="L111" i="26"/>
  <c r="K111" i="26"/>
  <c r="I111" i="26"/>
  <c r="H111" i="26"/>
  <c r="G111" i="26"/>
  <c r="E111" i="26"/>
  <c r="D111" i="26"/>
  <c r="N110" i="26"/>
  <c r="M110" i="26"/>
  <c r="L110" i="26"/>
  <c r="K110" i="26"/>
  <c r="I110" i="26"/>
  <c r="H110" i="26"/>
  <c r="G110" i="26"/>
  <c r="E110" i="26"/>
  <c r="D110" i="26"/>
  <c r="N109" i="26"/>
  <c r="M109" i="26"/>
  <c r="L109" i="26"/>
  <c r="K109" i="26"/>
  <c r="I109" i="26"/>
  <c r="H109" i="26"/>
  <c r="G109" i="26"/>
  <c r="E109" i="26"/>
  <c r="D109" i="26"/>
  <c r="N108" i="26"/>
  <c r="M108" i="26"/>
  <c r="L108" i="26"/>
  <c r="K108" i="26"/>
  <c r="I108" i="26"/>
  <c r="H108" i="26"/>
  <c r="G108" i="26"/>
  <c r="E108" i="26"/>
  <c r="D108" i="26"/>
  <c r="N107" i="26"/>
  <c r="M107" i="26"/>
  <c r="L107" i="26"/>
  <c r="K107" i="26"/>
  <c r="I107" i="26"/>
  <c r="H107" i="26"/>
  <c r="G107" i="26"/>
  <c r="E107" i="26"/>
  <c r="D107" i="26"/>
  <c r="N106" i="26"/>
  <c r="M106" i="26"/>
  <c r="L106" i="26"/>
  <c r="K106" i="26"/>
  <c r="I106" i="26"/>
  <c r="H106" i="26"/>
  <c r="G106" i="26"/>
  <c r="E106" i="26"/>
  <c r="D106" i="26"/>
  <c r="N105" i="26"/>
  <c r="M105" i="26"/>
  <c r="L105" i="26"/>
  <c r="K105" i="26"/>
  <c r="I105" i="26"/>
  <c r="H105" i="26"/>
  <c r="G105" i="26"/>
  <c r="E105" i="26"/>
  <c r="D105" i="26"/>
  <c r="N104" i="26"/>
  <c r="M104" i="26"/>
  <c r="L104" i="26"/>
  <c r="K104" i="26"/>
  <c r="I104" i="26"/>
  <c r="H104" i="26"/>
  <c r="G104" i="26"/>
  <c r="E104" i="26"/>
  <c r="D104" i="26"/>
  <c r="N103" i="26"/>
  <c r="M103" i="26"/>
  <c r="L103" i="26"/>
  <c r="K103" i="26"/>
  <c r="I103" i="26"/>
  <c r="H103" i="26"/>
  <c r="G103" i="26"/>
  <c r="E103" i="26"/>
  <c r="C115" i="26" s="1"/>
  <c r="D103" i="26"/>
  <c r="N97" i="26"/>
  <c r="M97" i="26"/>
  <c r="L97" i="26"/>
  <c r="K97" i="26"/>
  <c r="I97" i="26"/>
  <c r="H97" i="26"/>
  <c r="G97" i="26"/>
  <c r="E97" i="26"/>
  <c r="D97" i="26"/>
  <c r="N96" i="26"/>
  <c r="M96" i="26"/>
  <c r="L96" i="26"/>
  <c r="K96" i="26"/>
  <c r="I96" i="26"/>
  <c r="H96" i="26"/>
  <c r="G96" i="26"/>
  <c r="E96" i="26"/>
  <c r="D96" i="26"/>
  <c r="N95" i="26"/>
  <c r="M95" i="26"/>
  <c r="L95" i="26"/>
  <c r="K95" i="26"/>
  <c r="I95" i="26"/>
  <c r="H95" i="26"/>
  <c r="G95" i="26"/>
  <c r="E95" i="26"/>
  <c r="D95" i="26"/>
  <c r="N94" i="26"/>
  <c r="M94" i="26"/>
  <c r="L94" i="26"/>
  <c r="K94" i="26"/>
  <c r="I94" i="26"/>
  <c r="H94" i="26"/>
  <c r="G94" i="26"/>
  <c r="E94" i="26"/>
  <c r="D94" i="26"/>
  <c r="N93" i="26"/>
  <c r="M93" i="26"/>
  <c r="L93" i="26"/>
  <c r="K93" i="26"/>
  <c r="I93" i="26"/>
  <c r="H93" i="26"/>
  <c r="G93" i="26"/>
  <c r="E93" i="26"/>
  <c r="D93" i="26"/>
  <c r="N92" i="26"/>
  <c r="M92" i="26"/>
  <c r="L92" i="26"/>
  <c r="K92" i="26"/>
  <c r="I92" i="26"/>
  <c r="H92" i="26"/>
  <c r="G92" i="26"/>
  <c r="E92" i="26"/>
  <c r="D92" i="26"/>
  <c r="N91" i="26"/>
  <c r="M91" i="26"/>
  <c r="L91" i="26"/>
  <c r="K91" i="26"/>
  <c r="I91" i="26"/>
  <c r="H91" i="26"/>
  <c r="G91" i="26"/>
  <c r="E91" i="26"/>
  <c r="D91" i="26"/>
  <c r="N90" i="26"/>
  <c r="M90" i="26"/>
  <c r="L90" i="26"/>
  <c r="K90" i="26"/>
  <c r="I90" i="26"/>
  <c r="H90" i="26"/>
  <c r="G90" i="26"/>
  <c r="E90" i="26"/>
  <c r="D90" i="26"/>
  <c r="N89" i="26"/>
  <c r="M89" i="26"/>
  <c r="L89" i="26"/>
  <c r="K89" i="26"/>
  <c r="I89" i="26"/>
  <c r="H89" i="26"/>
  <c r="G89" i="26"/>
  <c r="E89" i="26"/>
  <c r="D89" i="26"/>
  <c r="N88" i="26"/>
  <c r="M88" i="26"/>
  <c r="L88" i="26"/>
  <c r="K88" i="26"/>
  <c r="I88" i="26"/>
  <c r="H88" i="26"/>
  <c r="G88" i="26"/>
  <c r="E88" i="26"/>
  <c r="D88" i="26"/>
  <c r="N87" i="26"/>
  <c r="M87" i="26"/>
  <c r="L87" i="26"/>
  <c r="K87" i="26"/>
  <c r="I87" i="26"/>
  <c r="H87" i="26"/>
  <c r="G87" i="26"/>
  <c r="E87" i="26"/>
  <c r="D87" i="26"/>
  <c r="N86" i="26"/>
  <c r="M86" i="26"/>
  <c r="L86" i="26"/>
  <c r="K86" i="26"/>
  <c r="I86" i="26"/>
  <c r="H86" i="26"/>
  <c r="G86" i="26"/>
  <c r="E86" i="26"/>
  <c r="C98" i="26" s="1"/>
  <c r="D86" i="26"/>
  <c r="N80" i="26"/>
  <c r="M80" i="26"/>
  <c r="L80" i="26"/>
  <c r="K80" i="26"/>
  <c r="I80" i="26"/>
  <c r="H80" i="26"/>
  <c r="G80" i="26"/>
  <c r="E80" i="26"/>
  <c r="D80" i="26"/>
  <c r="N79" i="26"/>
  <c r="M79" i="26"/>
  <c r="L79" i="26"/>
  <c r="K79" i="26"/>
  <c r="I79" i="26"/>
  <c r="H79" i="26"/>
  <c r="G79" i="26"/>
  <c r="E79" i="26"/>
  <c r="D79" i="26"/>
  <c r="N78" i="26"/>
  <c r="M78" i="26"/>
  <c r="L78" i="26"/>
  <c r="K78" i="26"/>
  <c r="I78" i="26"/>
  <c r="H78" i="26"/>
  <c r="G78" i="26"/>
  <c r="E78" i="26"/>
  <c r="D78" i="26"/>
  <c r="N77" i="26"/>
  <c r="M77" i="26"/>
  <c r="L77" i="26"/>
  <c r="K77" i="26"/>
  <c r="I77" i="26"/>
  <c r="H77" i="26"/>
  <c r="G77" i="26"/>
  <c r="E77" i="26"/>
  <c r="D77" i="26"/>
  <c r="N76" i="26"/>
  <c r="M76" i="26"/>
  <c r="L76" i="26"/>
  <c r="K76" i="26"/>
  <c r="I76" i="26"/>
  <c r="H76" i="26"/>
  <c r="G76" i="26"/>
  <c r="E76" i="26"/>
  <c r="D76" i="26"/>
  <c r="N75" i="26"/>
  <c r="M75" i="26"/>
  <c r="L75" i="26"/>
  <c r="K75" i="26"/>
  <c r="I75" i="26"/>
  <c r="H75" i="26"/>
  <c r="G75" i="26"/>
  <c r="E75" i="26"/>
  <c r="D75" i="26"/>
  <c r="N74" i="26"/>
  <c r="M74" i="26"/>
  <c r="L74" i="26"/>
  <c r="K74" i="26"/>
  <c r="I74" i="26"/>
  <c r="H74" i="26"/>
  <c r="G74" i="26"/>
  <c r="E74" i="26"/>
  <c r="D74" i="26"/>
  <c r="N73" i="26"/>
  <c r="M73" i="26"/>
  <c r="L73" i="26"/>
  <c r="K73" i="26"/>
  <c r="I73" i="26"/>
  <c r="H73" i="26"/>
  <c r="G73" i="26"/>
  <c r="E73" i="26"/>
  <c r="D73" i="26"/>
  <c r="N72" i="26"/>
  <c r="M72" i="26"/>
  <c r="L72" i="26"/>
  <c r="K72" i="26"/>
  <c r="I72" i="26"/>
  <c r="H72" i="26"/>
  <c r="G72" i="26"/>
  <c r="E72" i="26"/>
  <c r="C81" i="26" s="1"/>
  <c r="D72" i="26"/>
  <c r="N71" i="26"/>
  <c r="M71" i="26"/>
  <c r="L71" i="26"/>
  <c r="K71" i="26"/>
  <c r="I71" i="26"/>
  <c r="H71" i="26"/>
  <c r="G71" i="26"/>
  <c r="E71" i="26"/>
  <c r="D71" i="26"/>
  <c r="N65" i="26"/>
  <c r="M65" i="26"/>
  <c r="L65" i="26"/>
  <c r="K65" i="26"/>
  <c r="I65" i="26"/>
  <c r="H65" i="26"/>
  <c r="G65" i="26"/>
  <c r="E65" i="26"/>
  <c r="D65" i="26"/>
  <c r="N64" i="26"/>
  <c r="M64" i="26"/>
  <c r="L64" i="26"/>
  <c r="K64" i="26"/>
  <c r="I64" i="26"/>
  <c r="H64" i="26"/>
  <c r="G64" i="26"/>
  <c r="E64" i="26"/>
  <c r="D64" i="26"/>
  <c r="N63" i="26"/>
  <c r="M63" i="26"/>
  <c r="L63" i="26"/>
  <c r="K63" i="26"/>
  <c r="I63" i="26"/>
  <c r="H63" i="26"/>
  <c r="G63" i="26"/>
  <c r="E63" i="26"/>
  <c r="D63" i="26"/>
  <c r="N62" i="26"/>
  <c r="M62" i="26"/>
  <c r="L62" i="26"/>
  <c r="K62" i="26"/>
  <c r="I62" i="26"/>
  <c r="H62" i="26"/>
  <c r="G62" i="26"/>
  <c r="E62" i="26"/>
  <c r="D62" i="26"/>
  <c r="N61" i="26"/>
  <c r="M61" i="26"/>
  <c r="L61" i="26"/>
  <c r="K61" i="26"/>
  <c r="I61" i="26"/>
  <c r="H61" i="26"/>
  <c r="G61" i="26"/>
  <c r="E61" i="26"/>
  <c r="D61" i="26"/>
  <c r="N60" i="26"/>
  <c r="M60" i="26"/>
  <c r="L60" i="26"/>
  <c r="K60" i="26"/>
  <c r="I60" i="26"/>
  <c r="H60" i="26"/>
  <c r="G60" i="26"/>
  <c r="E60" i="26"/>
  <c r="D60" i="26"/>
  <c r="N59" i="26"/>
  <c r="M59" i="26"/>
  <c r="L59" i="26"/>
  <c r="K59" i="26"/>
  <c r="I59" i="26"/>
  <c r="H59" i="26"/>
  <c r="G59" i="26"/>
  <c r="E59" i="26"/>
  <c r="D59" i="26"/>
  <c r="N58" i="26"/>
  <c r="M58" i="26"/>
  <c r="L58" i="26"/>
  <c r="K58" i="26"/>
  <c r="I58" i="26"/>
  <c r="H58" i="26"/>
  <c r="G58" i="26"/>
  <c r="E58" i="26"/>
  <c r="D58" i="26"/>
  <c r="N57" i="26"/>
  <c r="M57" i="26"/>
  <c r="L57" i="26"/>
  <c r="K57" i="26"/>
  <c r="I57" i="26"/>
  <c r="H57" i="26"/>
  <c r="G57" i="26"/>
  <c r="E57" i="26"/>
  <c r="D57" i="26"/>
  <c r="N56" i="26"/>
  <c r="M56" i="26"/>
  <c r="L56" i="26"/>
  <c r="K56" i="26"/>
  <c r="I56" i="26"/>
  <c r="H56" i="26"/>
  <c r="G56" i="26"/>
  <c r="E56" i="26"/>
  <c r="D56" i="26"/>
  <c r="N55" i="26"/>
  <c r="M55" i="26"/>
  <c r="L55" i="26"/>
  <c r="K55" i="26"/>
  <c r="I55" i="26"/>
  <c r="H55" i="26"/>
  <c r="G55" i="26"/>
  <c r="E55" i="26"/>
  <c r="D55" i="26"/>
  <c r="N54" i="26"/>
  <c r="M54" i="26"/>
  <c r="L54" i="26"/>
  <c r="K54" i="26"/>
  <c r="I54" i="26"/>
  <c r="H54" i="26"/>
  <c r="G54" i="26"/>
  <c r="E54" i="26"/>
  <c r="C66" i="26" s="1"/>
  <c r="D54" i="26"/>
  <c r="N48" i="26"/>
  <c r="M48" i="26"/>
  <c r="L48" i="26"/>
  <c r="K48" i="26"/>
  <c r="I48" i="26"/>
  <c r="H48" i="26"/>
  <c r="G48" i="26"/>
  <c r="E48" i="26"/>
  <c r="D48" i="26"/>
  <c r="N47" i="26"/>
  <c r="M47" i="26"/>
  <c r="L47" i="26"/>
  <c r="K47" i="26"/>
  <c r="I47" i="26"/>
  <c r="H47" i="26"/>
  <c r="G47" i="26"/>
  <c r="E47" i="26"/>
  <c r="D47" i="26"/>
  <c r="N46" i="26"/>
  <c r="M46" i="26"/>
  <c r="L46" i="26"/>
  <c r="K46" i="26"/>
  <c r="I46" i="26"/>
  <c r="H46" i="26"/>
  <c r="G46" i="26"/>
  <c r="E46" i="26"/>
  <c r="D46" i="26"/>
  <c r="N45" i="26"/>
  <c r="M45" i="26"/>
  <c r="L45" i="26"/>
  <c r="K45" i="26"/>
  <c r="I45" i="26"/>
  <c r="H45" i="26"/>
  <c r="G45" i="26"/>
  <c r="E45" i="26"/>
  <c r="D45" i="26"/>
  <c r="N44" i="26"/>
  <c r="M44" i="26"/>
  <c r="L44" i="26"/>
  <c r="K44" i="26"/>
  <c r="I44" i="26"/>
  <c r="H44" i="26"/>
  <c r="G44" i="26"/>
  <c r="E44" i="26"/>
  <c r="D44" i="26"/>
  <c r="N43" i="26"/>
  <c r="M43" i="26"/>
  <c r="L43" i="26"/>
  <c r="K43" i="26"/>
  <c r="I43" i="26"/>
  <c r="H43" i="26"/>
  <c r="G43" i="26"/>
  <c r="E43" i="26"/>
  <c r="D43" i="26"/>
  <c r="N42" i="26"/>
  <c r="M42" i="26"/>
  <c r="L42" i="26"/>
  <c r="K42" i="26"/>
  <c r="I42" i="26"/>
  <c r="H42" i="26"/>
  <c r="G42" i="26"/>
  <c r="E42" i="26"/>
  <c r="D42" i="26"/>
  <c r="N41" i="26"/>
  <c r="M41" i="26"/>
  <c r="L41" i="26"/>
  <c r="K41" i="26"/>
  <c r="I41" i="26"/>
  <c r="H41" i="26"/>
  <c r="G41" i="26"/>
  <c r="E41" i="26"/>
  <c r="D41" i="26"/>
  <c r="N40" i="26"/>
  <c r="M40" i="26"/>
  <c r="L40" i="26"/>
  <c r="K40" i="26"/>
  <c r="I40" i="26"/>
  <c r="H40" i="26"/>
  <c r="G40" i="26"/>
  <c r="E40" i="26"/>
  <c r="C49" i="26" s="1"/>
  <c r="D40" i="26"/>
  <c r="N39" i="26"/>
  <c r="M39" i="26"/>
  <c r="L39" i="26"/>
  <c r="K39" i="26"/>
  <c r="I39" i="26"/>
  <c r="H39" i="26"/>
  <c r="G39" i="26"/>
  <c r="E39" i="26"/>
  <c r="D39" i="26"/>
  <c r="N38" i="26"/>
  <c r="M38" i="26"/>
  <c r="L38" i="26"/>
  <c r="K38" i="26"/>
  <c r="I38" i="26"/>
  <c r="H38" i="26"/>
  <c r="G38" i="26"/>
  <c r="E38" i="26"/>
  <c r="D38" i="26"/>
  <c r="N37" i="26"/>
  <c r="M37" i="26"/>
  <c r="L37" i="26"/>
  <c r="K37" i="26"/>
  <c r="I37" i="26"/>
  <c r="H37" i="26"/>
  <c r="G37" i="26"/>
  <c r="E37" i="26"/>
  <c r="D37" i="26"/>
  <c r="N31" i="26"/>
  <c r="M31" i="26"/>
  <c r="L31" i="26"/>
  <c r="K31" i="26"/>
  <c r="I31" i="26"/>
  <c r="H31" i="26"/>
  <c r="G31" i="26"/>
  <c r="E31" i="26"/>
  <c r="D31" i="26"/>
  <c r="N30" i="26"/>
  <c r="M30" i="26"/>
  <c r="L30" i="26"/>
  <c r="K30" i="26"/>
  <c r="I30" i="26"/>
  <c r="H30" i="26"/>
  <c r="G30" i="26"/>
  <c r="E30" i="26"/>
  <c r="D30" i="26"/>
  <c r="N29" i="26"/>
  <c r="M29" i="26"/>
  <c r="L29" i="26"/>
  <c r="K29" i="26"/>
  <c r="I29" i="26"/>
  <c r="H29" i="26"/>
  <c r="G29" i="26"/>
  <c r="E29" i="26"/>
  <c r="D29" i="26"/>
  <c r="N28" i="26"/>
  <c r="M28" i="26"/>
  <c r="L28" i="26"/>
  <c r="K28" i="26"/>
  <c r="I28" i="26"/>
  <c r="H28" i="26"/>
  <c r="G28" i="26"/>
  <c r="E28" i="26"/>
  <c r="D28" i="26"/>
  <c r="N27" i="26"/>
  <c r="M27" i="26"/>
  <c r="L27" i="26"/>
  <c r="K27" i="26"/>
  <c r="I27" i="26"/>
  <c r="H27" i="26"/>
  <c r="G27" i="26"/>
  <c r="E27" i="26"/>
  <c r="D27" i="26"/>
  <c r="N26" i="26"/>
  <c r="M26" i="26"/>
  <c r="L26" i="26"/>
  <c r="K26" i="26"/>
  <c r="I26" i="26"/>
  <c r="H26" i="26"/>
  <c r="G26" i="26"/>
  <c r="E26" i="26"/>
  <c r="D26" i="26"/>
  <c r="N25" i="26"/>
  <c r="M25" i="26"/>
  <c r="L25" i="26"/>
  <c r="K25" i="26"/>
  <c r="I25" i="26"/>
  <c r="H25" i="26"/>
  <c r="G25" i="26"/>
  <c r="E25" i="26"/>
  <c r="D25" i="26"/>
  <c r="N24" i="26"/>
  <c r="M24" i="26"/>
  <c r="L24" i="26"/>
  <c r="K24" i="26"/>
  <c r="I24" i="26"/>
  <c r="H24" i="26"/>
  <c r="G24" i="26"/>
  <c r="E24" i="26"/>
  <c r="D24" i="26"/>
  <c r="N23" i="26"/>
  <c r="M23" i="26"/>
  <c r="L23" i="26"/>
  <c r="K23" i="26"/>
  <c r="I23" i="26"/>
  <c r="H23" i="26"/>
  <c r="G23" i="26"/>
  <c r="E23" i="26"/>
  <c r="D23" i="26"/>
  <c r="N22" i="26"/>
  <c r="M22" i="26"/>
  <c r="L22" i="26"/>
  <c r="K22" i="26"/>
  <c r="I22" i="26"/>
  <c r="H22" i="26"/>
  <c r="G22" i="26"/>
  <c r="E22" i="26"/>
  <c r="D22" i="26"/>
  <c r="N21" i="26"/>
  <c r="M21" i="26"/>
  <c r="L21" i="26"/>
  <c r="K21" i="26"/>
  <c r="I21" i="26"/>
  <c r="H21" i="26"/>
  <c r="G21" i="26"/>
  <c r="E21" i="26"/>
  <c r="D21" i="26"/>
  <c r="N20" i="26"/>
  <c r="M20" i="26"/>
  <c r="L20" i="26"/>
  <c r="K20" i="26"/>
  <c r="I20" i="26"/>
  <c r="H20" i="26"/>
  <c r="G20" i="26"/>
  <c r="E20" i="26"/>
  <c r="C32" i="26" s="1"/>
  <c r="D20" i="26"/>
  <c r="N14" i="26"/>
  <c r="M14" i="26"/>
  <c r="L14" i="26"/>
  <c r="K14" i="26"/>
  <c r="I14" i="26"/>
  <c r="H14" i="26"/>
  <c r="G14" i="26"/>
  <c r="E14" i="26"/>
  <c r="D14" i="26"/>
  <c r="N13" i="26"/>
  <c r="M13" i="26"/>
  <c r="L13" i="26"/>
  <c r="K13" i="26"/>
  <c r="I13" i="26"/>
  <c r="H13" i="26"/>
  <c r="G13" i="26"/>
  <c r="E13" i="26"/>
  <c r="D13" i="26"/>
  <c r="N12" i="26"/>
  <c r="M12" i="26"/>
  <c r="L12" i="26"/>
  <c r="K12" i="26"/>
  <c r="I12" i="26"/>
  <c r="H12" i="26"/>
  <c r="G12" i="26"/>
  <c r="E12" i="26"/>
  <c r="D12" i="26"/>
  <c r="N11" i="26"/>
  <c r="M11" i="26"/>
  <c r="L11" i="26"/>
  <c r="K11" i="26"/>
  <c r="I11" i="26"/>
  <c r="H11" i="26"/>
  <c r="G11" i="26"/>
  <c r="E11" i="26"/>
  <c r="D11" i="26"/>
  <c r="N10" i="26"/>
  <c r="M10" i="26"/>
  <c r="L10" i="26"/>
  <c r="K10" i="26"/>
  <c r="I10" i="26"/>
  <c r="H10" i="26"/>
  <c r="G10" i="26"/>
  <c r="E10" i="26"/>
  <c r="D10" i="26"/>
  <c r="N9" i="26"/>
  <c r="M9" i="26"/>
  <c r="L9" i="26"/>
  <c r="K9" i="26"/>
  <c r="I9" i="26"/>
  <c r="H9" i="26"/>
  <c r="G9" i="26"/>
  <c r="E9" i="26"/>
  <c r="D9" i="26"/>
  <c r="N8" i="26"/>
  <c r="M8" i="26"/>
  <c r="L8" i="26"/>
  <c r="K8" i="26"/>
  <c r="I8" i="26"/>
  <c r="H8" i="26"/>
  <c r="G8" i="26"/>
  <c r="E8" i="26"/>
  <c r="D8" i="26"/>
  <c r="N7" i="26"/>
  <c r="M7" i="26"/>
  <c r="L7" i="26"/>
  <c r="K7" i="26"/>
  <c r="I7" i="26"/>
  <c r="H7" i="26"/>
  <c r="G7" i="26"/>
  <c r="E7" i="26"/>
  <c r="D7" i="26"/>
  <c r="N6" i="26"/>
  <c r="M6" i="26"/>
  <c r="L6" i="26"/>
  <c r="K6" i="26"/>
  <c r="I6" i="26"/>
  <c r="H6" i="26"/>
  <c r="G6" i="26"/>
  <c r="E6" i="26"/>
  <c r="D6" i="26"/>
  <c r="N5" i="26"/>
  <c r="M5" i="26"/>
  <c r="L5" i="26"/>
  <c r="K5" i="26"/>
  <c r="I5" i="26"/>
  <c r="H5" i="26"/>
  <c r="G5" i="26"/>
  <c r="E5" i="26"/>
  <c r="C15" i="26" s="1"/>
  <c r="D5" i="26"/>
  <c r="N65" i="25"/>
  <c r="M65" i="25"/>
  <c r="L65" i="25"/>
  <c r="K65" i="25"/>
  <c r="I65" i="25"/>
  <c r="H65" i="25"/>
  <c r="G65" i="25"/>
  <c r="E65" i="25"/>
  <c r="D65" i="25"/>
  <c r="N64" i="25"/>
  <c r="M64" i="25"/>
  <c r="L64" i="25"/>
  <c r="K64" i="25"/>
  <c r="I64" i="25"/>
  <c r="H64" i="25"/>
  <c r="G64" i="25"/>
  <c r="E64" i="25"/>
  <c r="D64" i="25"/>
  <c r="N63" i="25"/>
  <c r="M63" i="25"/>
  <c r="L63" i="25"/>
  <c r="K63" i="25"/>
  <c r="I63" i="25"/>
  <c r="H63" i="25"/>
  <c r="G63" i="25"/>
  <c r="E63" i="25"/>
  <c r="D63" i="25"/>
  <c r="N62" i="25"/>
  <c r="M62" i="25"/>
  <c r="L62" i="25"/>
  <c r="K62" i="25"/>
  <c r="I62" i="25"/>
  <c r="H62" i="25"/>
  <c r="G62" i="25"/>
  <c r="E62" i="25"/>
  <c r="D62" i="25"/>
  <c r="N61" i="25"/>
  <c r="M61" i="25"/>
  <c r="L61" i="25"/>
  <c r="K61" i="25"/>
  <c r="I61" i="25"/>
  <c r="H61" i="25"/>
  <c r="G61" i="25"/>
  <c r="E61" i="25"/>
  <c r="D61" i="25"/>
  <c r="N60" i="25"/>
  <c r="M60" i="25"/>
  <c r="L60" i="25"/>
  <c r="K60" i="25"/>
  <c r="I60" i="25"/>
  <c r="H60" i="25"/>
  <c r="G60" i="25"/>
  <c r="E60" i="25"/>
  <c r="D60" i="25"/>
  <c r="N59" i="25"/>
  <c r="M59" i="25"/>
  <c r="L59" i="25"/>
  <c r="K59" i="25"/>
  <c r="I59" i="25"/>
  <c r="H59" i="25"/>
  <c r="G59" i="25"/>
  <c r="E59" i="25"/>
  <c r="D59" i="25"/>
  <c r="N58" i="25"/>
  <c r="M58" i="25"/>
  <c r="L58" i="25"/>
  <c r="K58" i="25"/>
  <c r="I58" i="25"/>
  <c r="H58" i="25"/>
  <c r="G58" i="25"/>
  <c r="E58" i="25"/>
  <c r="D58" i="25"/>
  <c r="N57" i="25"/>
  <c r="M57" i="25"/>
  <c r="L57" i="25"/>
  <c r="K57" i="25"/>
  <c r="I57" i="25"/>
  <c r="H57" i="25"/>
  <c r="G57" i="25"/>
  <c r="E57" i="25"/>
  <c r="D57" i="25"/>
  <c r="N56" i="25"/>
  <c r="M56" i="25"/>
  <c r="L56" i="25"/>
  <c r="K56" i="25"/>
  <c r="I56" i="25"/>
  <c r="H56" i="25"/>
  <c r="G56" i="25"/>
  <c r="E56" i="25"/>
  <c r="D56" i="25"/>
  <c r="N55" i="25"/>
  <c r="M55" i="25"/>
  <c r="L55" i="25"/>
  <c r="K55" i="25"/>
  <c r="I55" i="25"/>
  <c r="H55" i="25"/>
  <c r="G55" i="25"/>
  <c r="E55" i="25"/>
  <c r="D55" i="25"/>
  <c r="N54" i="25"/>
  <c r="M54" i="25"/>
  <c r="L54" i="25"/>
  <c r="K54" i="25"/>
  <c r="I54" i="25"/>
  <c r="H54" i="25"/>
  <c r="G54" i="25"/>
  <c r="E54" i="25"/>
  <c r="D54" i="25"/>
  <c r="N48" i="25"/>
  <c r="M48" i="25"/>
  <c r="L48" i="25"/>
  <c r="K48" i="25"/>
  <c r="I48" i="25"/>
  <c r="H48" i="25"/>
  <c r="G48" i="25"/>
  <c r="E48" i="25"/>
  <c r="D48" i="25"/>
  <c r="N47" i="25"/>
  <c r="M47" i="25"/>
  <c r="L47" i="25"/>
  <c r="K47" i="25"/>
  <c r="I47" i="25"/>
  <c r="H47" i="25"/>
  <c r="G47" i="25"/>
  <c r="E47" i="25"/>
  <c r="D47" i="25"/>
  <c r="N46" i="25"/>
  <c r="M46" i="25"/>
  <c r="L46" i="25"/>
  <c r="K46" i="25"/>
  <c r="I46" i="25"/>
  <c r="H46" i="25"/>
  <c r="G46" i="25"/>
  <c r="E46" i="25"/>
  <c r="D46" i="25"/>
  <c r="N45" i="25"/>
  <c r="M45" i="25"/>
  <c r="L45" i="25"/>
  <c r="K45" i="25"/>
  <c r="I45" i="25"/>
  <c r="H45" i="25"/>
  <c r="G45" i="25"/>
  <c r="E45" i="25"/>
  <c r="D45" i="25"/>
  <c r="N44" i="25"/>
  <c r="M44" i="25"/>
  <c r="L44" i="25"/>
  <c r="K44" i="25"/>
  <c r="I44" i="25"/>
  <c r="H44" i="25"/>
  <c r="G44" i="25"/>
  <c r="E44" i="25"/>
  <c r="D44" i="25"/>
  <c r="N43" i="25"/>
  <c r="M43" i="25"/>
  <c r="L43" i="25"/>
  <c r="K43" i="25"/>
  <c r="I43" i="25"/>
  <c r="H43" i="25"/>
  <c r="G43" i="25"/>
  <c r="E43" i="25"/>
  <c r="D43" i="25"/>
  <c r="N42" i="25"/>
  <c r="M42" i="25"/>
  <c r="L42" i="25"/>
  <c r="K42" i="25"/>
  <c r="I42" i="25"/>
  <c r="H42" i="25"/>
  <c r="G42" i="25"/>
  <c r="E42" i="25"/>
  <c r="D42" i="25"/>
  <c r="N41" i="25"/>
  <c r="M41" i="25"/>
  <c r="L41" i="25"/>
  <c r="K41" i="25"/>
  <c r="I41" i="25"/>
  <c r="H41" i="25"/>
  <c r="G41" i="25"/>
  <c r="E41" i="25"/>
  <c r="D41" i="25"/>
  <c r="N40" i="25"/>
  <c r="M40" i="25"/>
  <c r="L40" i="25"/>
  <c r="K40" i="25"/>
  <c r="I40" i="25"/>
  <c r="H40" i="25"/>
  <c r="G40" i="25"/>
  <c r="E40" i="25"/>
  <c r="D40" i="25"/>
  <c r="N39" i="25"/>
  <c r="M39" i="25"/>
  <c r="L39" i="25"/>
  <c r="K39" i="25"/>
  <c r="I39" i="25"/>
  <c r="H39" i="25"/>
  <c r="G39" i="25"/>
  <c r="E39" i="25"/>
  <c r="D39" i="25"/>
  <c r="N38" i="25"/>
  <c r="M38" i="25"/>
  <c r="L38" i="25"/>
  <c r="K38" i="25"/>
  <c r="I38" i="25"/>
  <c r="H38" i="25"/>
  <c r="G38" i="25"/>
  <c r="E38" i="25"/>
  <c r="D38" i="25"/>
  <c r="N37" i="25"/>
  <c r="M37" i="25"/>
  <c r="L37" i="25"/>
  <c r="K37" i="25"/>
  <c r="I37" i="25"/>
  <c r="H37" i="25"/>
  <c r="G37" i="25"/>
  <c r="E37" i="25"/>
  <c r="D37" i="25"/>
  <c r="N31" i="25"/>
  <c r="M31" i="25"/>
  <c r="L31" i="25"/>
  <c r="K31" i="25"/>
  <c r="I31" i="25"/>
  <c r="H31" i="25"/>
  <c r="G31" i="25"/>
  <c r="E31" i="25"/>
  <c r="D31" i="25"/>
  <c r="N30" i="25"/>
  <c r="M30" i="25"/>
  <c r="L30" i="25"/>
  <c r="K30" i="25"/>
  <c r="I30" i="25"/>
  <c r="H30" i="25"/>
  <c r="G30" i="25"/>
  <c r="E30" i="25"/>
  <c r="D30" i="25"/>
  <c r="N29" i="25"/>
  <c r="M29" i="25"/>
  <c r="L29" i="25"/>
  <c r="K29" i="25"/>
  <c r="I29" i="25"/>
  <c r="H29" i="25"/>
  <c r="G29" i="25"/>
  <c r="E29" i="25"/>
  <c r="D29" i="25"/>
  <c r="N28" i="25"/>
  <c r="M28" i="25"/>
  <c r="L28" i="25"/>
  <c r="K28" i="25"/>
  <c r="I28" i="25"/>
  <c r="H28" i="25"/>
  <c r="G28" i="25"/>
  <c r="E28" i="25"/>
  <c r="D28" i="25"/>
  <c r="N27" i="25"/>
  <c r="M27" i="25"/>
  <c r="L27" i="25"/>
  <c r="K27" i="25"/>
  <c r="I27" i="25"/>
  <c r="H27" i="25"/>
  <c r="G27" i="25"/>
  <c r="E27" i="25"/>
  <c r="D27" i="25"/>
  <c r="N26" i="25"/>
  <c r="M26" i="25"/>
  <c r="L26" i="25"/>
  <c r="K26" i="25"/>
  <c r="I26" i="25"/>
  <c r="H26" i="25"/>
  <c r="G26" i="25"/>
  <c r="E26" i="25"/>
  <c r="D26" i="25"/>
  <c r="N25" i="25"/>
  <c r="M25" i="25"/>
  <c r="L25" i="25"/>
  <c r="K25" i="25"/>
  <c r="I25" i="25"/>
  <c r="H25" i="25"/>
  <c r="G25" i="25"/>
  <c r="E25" i="25"/>
  <c r="D25" i="25"/>
  <c r="N24" i="25"/>
  <c r="M24" i="25"/>
  <c r="L24" i="25"/>
  <c r="K24" i="25"/>
  <c r="I24" i="25"/>
  <c r="H24" i="25"/>
  <c r="G24" i="25"/>
  <c r="E24" i="25"/>
  <c r="D24" i="25"/>
  <c r="N23" i="25"/>
  <c r="M23" i="25"/>
  <c r="L23" i="25"/>
  <c r="K23" i="25"/>
  <c r="I23" i="25"/>
  <c r="H23" i="25"/>
  <c r="G23" i="25"/>
  <c r="E23" i="25"/>
  <c r="D23" i="25"/>
  <c r="N22" i="25"/>
  <c r="M22" i="25"/>
  <c r="L22" i="25"/>
  <c r="K22" i="25"/>
  <c r="I22" i="25"/>
  <c r="H22" i="25"/>
  <c r="G22" i="25"/>
  <c r="E22" i="25"/>
  <c r="D22" i="25"/>
  <c r="N21" i="25"/>
  <c r="M21" i="25"/>
  <c r="L21" i="25"/>
  <c r="K21" i="25"/>
  <c r="I21" i="25"/>
  <c r="H21" i="25"/>
  <c r="G21" i="25"/>
  <c r="E21" i="25"/>
  <c r="D21" i="25"/>
  <c r="N20" i="25"/>
  <c r="M20" i="25"/>
  <c r="L20" i="25"/>
  <c r="K20" i="25"/>
  <c r="I20" i="25"/>
  <c r="H20" i="25"/>
  <c r="G20" i="25"/>
  <c r="E20" i="25"/>
  <c r="D20" i="25"/>
  <c r="D5" i="25"/>
  <c r="D6" i="25"/>
  <c r="E5" i="25"/>
  <c r="E6" i="25"/>
  <c r="G5" i="25"/>
  <c r="G6" i="25"/>
  <c r="H5" i="25"/>
  <c r="H6" i="25"/>
  <c r="I5" i="25"/>
  <c r="I6" i="25"/>
  <c r="K5" i="25"/>
  <c r="K6" i="25"/>
  <c r="L5" i="25"/>
  <c r="L6" i="25"/>
  <c r="M5" i="25"/>
  <c r="M6" i="25"/>
  <c r="N5" i="25"/>
  <c r="N6" i="25"/>
  <c r="C15" i="29" l="1"/>
  <c r="C49" i="29"/>
  <c r="C32" i="29"/>
  <c r="C32" i="28"/>
  <c r="C66" i="28"/>
  <c r="C81" i="28"/>
  <c r="C15" i="28"/>
  <c r="C32" i="27"/>
  <c r="C98" i="27"/>
  <c r="C81" i="27"/>
  <c r="C15" i="27"/>
  <c r="C66" i="27"/>
  <c r="C115" i="27"/>
  <c r="C32" i="30"/>
  <c r="C15" i="30"/>
  <c r="C66" i="25"/>
  <c r="C49" i="25"/>
  <c r="C32" i="25"/>
  <c r="D7" i="25"/>
  <c r="E7" i="25"/>
  <c r="G7" i="25"/>
  <c r="H7" i="25"/>
  <c r="I7" i="25"/>
  <c r="K7" i="25"/>
  <c r="L7" i="25"/>
  <c r="M7" i="25"/>
  <c r="N7" i="25"/>
  <c r="D8" i="25"/>
  <c r="D9" i="25"/>
  <c r="D10" i="25"/>
  <c r="E8" i="25"/>
  <c r="E9" i="25"/>
  <c r="E10" i="25"/>
  <c r="G8" i="25"/>
  <c r="G9" i="25"/>
  <c r="G10" i="25"/>
  <c r="H8" i="25"/>
  <c r="H9" i="25"/>
  <c r="H10" i="25"/>
  <c r="I8" i="25"/>
  <c r="I9" i="25"/>
  <c r="I10" i="25"/>
  <c r="K8" i="25"/>
  <c r="K9" i="25"/>
  <c r="K10" i="25"/>
  <c r="L8" i="25"/>
  <c r="L9" i="25"/>
  <c r="L10" i="25"/>
  <c r="M8" i="25"/>
  <c r="M9" i="25"/>
  <c r="M10" i="25"/>
  <c r="N8" i="25"/>
  <c r="N9" i="25"/>
  <c r="N10" i="25"/>
  <c r="N14" i="25"/>
  <c r="M14" i="25"/>
  <c r="L14" i="25"/>
  <c r="K14" i="25"/>
  <c r="I14" i="25"/>
  <c r="H14" i="25"/>
  <c r="G14" i="25"/>
  <c r="E14" i="25"/>
  <c r="D14" i="25"/>
  <c r="N13" i="25"/>
  <c r="M13" i="25"/>
  <c r="L13" i="25"/>
  <c r="K13" i="25"/>
  <c r="I13" i="25"/>
  <c r="H13" i="25"/>
  <c r="G13" i="25"/>
  <c r="E13" i="25"/>
  <c r="D13" i="25"/>
  <c r="N12" i="25"/>
  <c r="M12" i="25"/>
  <c r="L12" i="25"/>
  <c r="K12" i="25"/>
  <c r="I12" i="25"/>
  <c r="H12" i="25"/>
  <c r="G12" i="25"/>
  <c r="E12" i="25"/>
  <c r="D12" i="25"/>
  <c r="N11" i="25"/>
  <c r="M11" i="25"/>
  <c r="L11" i="25"/>
  <c r="K11" i="25"/>
  <c r="I11" i="25"/>
  <c r="H11" i="25"/>
  <c r="G11" i="25"/>
  <c r="E11" i="25"/>
  <c r="D11" i="25"/>
  <c r="C15" i="25" l="1"/>
</calcChain>
</file>

<file path=xl/sharedStrings.xml><?xml version="1.0" encoding="utf-8"?>
<sst xmlns="http://schemas.openxmlformats.org/spreadsheetml/2006/main" count="651" uniqueCount="51">
  <si>
    <t>POSIÇÃO</t>
  </si>
  <si>
    <t>CRITICIDADE</t>
  </si>
  <si>
    <t>DANO</t>
  </si>
  <si>
    <t>Nº NOTA</t>
  </si>
  <si>
    <t>DATA INSPEÇÃO</t>
  </si>
  <si>
    <t>FEEDBACK</t>
  </si>
  <si>
    <t>CORREIA</t>
  </si>
  <si>
    <t>NÚMERO CAVALETE</t>
  </si>
  <si>
    <t>TIPO DE ROLO</t>
  </si>
  <si>
    <t>D</t>
  </si>
  <si>
    <t>C</t>
  </si>
  <si>
    <t>E</t>
  </si>
  <si>
    <t>P1</t>
  </si>
  <si>
    <t>P2</t>
  </si>
  <si>
    <t>P3</t>
  </si>
  <si>
    <t>PRIORIDADE</t>
  </si>
  <si>
    <t>Coluna1</t>
  </si>
  <si>
    <t>Coluna2</t>
  </si>
  <si>
    <t>PARADA PROGRAMADA</t>
  </si>
  <si>
    <t>TEXTO DO ITEM</t>
  </si>
  <si>
    <t>11CV68</t>
  </si>
  <si>
    <t>11CV67</t>
  </si>
  <si>
    <t>02CV009</t>
  </si>
  <si>
    <t>11LL07</t>
  </si>
  <si>
    <t>11LL09</t>
  </si>
  <si>
    <t>11CR14</t>
  </si>
  <si>
    <t>11CV07</t>
  </si>
  <si>
    <t>11CV69</t>
  </si>
  <si>
    <t>11LK03</t>
  </si>
  <si>
    <t>11CV72</t>
  </si>
  <si>
    <t>02CV002</t>
  </si>
  <si>
    <t>11CR12</t>
  </si>
  <si>
    <t>11CV56</t>
  </si>
  <si>
    <t>11LK02</t>
  </si>
  <si>
    <t>11LL01</t>
  </si>
  <si>
    <t>11LL03</t>
  </si>
  <si>
    <t>11CV21</t>
  </si>
  <si>
    <t>02CV37</t>
  </si>
  <si>
    <t>02CV38</t>
  </si>
  <si>
    <t>02CV39</t>
  </si>
  <si>
    <t>02CV40</t>
  </si>
  <si>
    <t>02CV41</t>
  </si>
  <si>
    <t>11CR13</t>
  </si>
  <si>
    <t>11CV20</t>
  </si>
  <si>
    <t>11CV64</t>
  </si>
  <si>
    <t>11LK01</t>
  </si>
  <si>
    <t>11LL04</t>
  </si>
  <si>
    <t>11LL06</t>
  </si>
  <si>
    <t>11CV23</t>
  </si>
  <si>
    <t>11CV24</t>
  </si>
  <si>
    <t>11CR10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</si>
</sst>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scheme val="minor"/>
    </font>
    <font>
      <sz val="16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0" fontId="0" fillId="9" borderId="1" xfId="0" applyFill="1" applyBorder="1"/>
    <xf numFmtId="0" fontId="0" fillId="6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0" fillId="0" borderId="1" xfId="0" applyFont="1" applyBorder="1"/>
    <xf numFmtId="14" fontId="0" fillId="0" borderId="1" xfId="0" applyNumberFormat="1" applyFont="1" applyBorder="1" applyAlignment="1">
      <alignment horizontal="right"/>
    </xf>
    <xf numFmtId="0" fontId="0" fillId="0" borderId="1" xfId="0" applyFont="1" applyFill="1" applyBorder="1"/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right"/>
    </xf>
    <xf numFmtId="0" fontId="5" fillId="0" borderId="4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/>
    <xf numFmtId="0" fontId="10" fillId="3" borderId="1" xfId="0" applyFont="1" applyFill="1" applyBorder="1"/>
    <xf numFmtId="14" fontId="10" fillId="3" borderId="1" xfId="0" applyNumberFormat="1" applyFont="1" applyFill="1" applyBorder="1" applyAlignment="1">
      <alignment horizontal="right"/>
    </xf>
    <xf numFmtId="0" fontId="9" fillId="3" borderId="4" xfId="0" applyFont="1" applyFill="1" applyBorder="1" applyAlignment="1">
      <alignment horizont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4" borderId="4" xfId="0" quotePrefix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5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0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EE7A63-0463-4B44-8716-9200F7A227F9}" name="Tabela625210" displayName="Tabela625210" ref="D4:Q14" totalsRowShown="0" headerRowDxfId="485" headerRowBorderDxfId="484" tableBorderDxfId="483" totalsRowBorderDxfId="482">
  <autoFilter ref="D4:Q14" xr:uid="{D8EE7A63-0463-4B44-8716-9200F7A227F9}"/>
  <tableColumns count="14">
    <tableColumn id="1" xr3:uid="{38CC6F24-9118-459E-B35F-F2B944A60703}" name="NÚMERO CAVALETE" dataDxfId="481">
      <calculatedColumnFormula>LEFT(B5, FIND("-", B5)-1)</calculatedColumnFormula>
    </tableColumn>
    <tableColumn id="2" xr3:uid="{4CBF4B25-E56C-4E24-8BAE-4426B5A1109B}" name="TIPO DE ROLO" dataDxfId="480">
      <calculatedColumnFormula>MID(B5, FIND("-", B5)+1, FIND("-", B5, FIND("-", B5)+1)-FIND("-", B5)-1)</calculatedColumnFormula>
    </tableColumn>
    <tableColumn id="3" xr3:uid="{AEE77E43-8965-4C35-8D80-040F3141B05D}" name="Coluna1" dataDxfId="479"/>
    <tableColumn id="4" xr3:uid="{973F2652-D192-4B15-9664-F9814788B18B}" name="D" dataDxfId="478">
      <calculatedColumnFormula>IF(ISERROR(FIND("-D-", B5)), "", "X")</calculatedColumnFormula>
    </tableColumn>
    <tableColumn id="5" xr3:uid="{A1F7E232-1535-4AA2-BC11-930471C28B58}" name="C" dataDxfId="477">
      <calculatedColumnFormula>IF(ISERROR(FIND("-C-", B5)), "", "X")</calculatedColumnFormula>
    </tableColumn>
    <tableColumn id="6" xr3:uid="{FEA7E55E-2D73-4B18-92F7-75DBDF1DC4AA}" name="E" dataDxfId="476">
      <calculatedColumnFormula>IF(ISERROR(FIND("-E-", B5)), "", "X")</calculatedColumnFormula>
    </tableColumn>
    <tableColumn id="7" xr3:uid="{01310B6B-E4FE-4955-B5F0-CD82F75371B3}" name="Coluna2" dataDxfId="475"/>
    <tableColumn id="8" xr3:uid="{EB5B5E9B-7BC4-4963-819A-2DC5AD4FF13A}" name="P1" dataDxfId="474">
      <calculatedColumnFormula>IF(ISERROR(FIND("P1", A5)), "", "X")</calculatedColumnFormula>
    </tableColumn>
    <tableColumn id="9" xr3:uid="{CA8D3B2C-7B5A-4153-889B-86B26F9221AE}" name="P2" dataDxfId="473">
      <calculatedColumnFormula>IF(ISERROR(FIND("P2", A5)), "", "X")</calculatedColumnFormula>
    </tableColumn>
    <tableColumn id="10" xr3:uid="{C125958E-64E0-4E09-89EA-3F29E2263D07}" name="P3" dataDxfId="472">
      <calculatedColumnFormula>IF(ISERROR(FIND("P3", A5)), "", "X")</calculatedColumnFormula>
    </tableColumn>
    <tableColumn id="11" xr3:uid="{6A09FE6A-A8EB-4EE7-89E8-4C318EAEA9F0}" name="DANO" dataDxfId="471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CFF4893D-D1EC-4A4B-8D38-AA333D8FD807}" name="Nº NOTA" dataDxfId="470"/>
    <tableColumn id="13" xr3:uid="{D8CD5CD4-A636-4147-8050-1448F287FD6D}" name="DATA INSPEÇÃO" dataDxfId="469"/>
    <tableColumn id="14" xr3:uid="{4A210824-53B5-42EE-877F-692BDB0888AD}" name="FEEDBACK" dataDxfId="46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A0B7EB-4AE5-43A7-9599-3C3F7D18F253}" name="Tabela6252311" displayName="Tabela6252311" ref="D19:Q31" totalsRowShown="0" headerRowDxfId="467" headerRowBorderDxfId="466" tableBorderDxfId="465" totalsRowBorderDxfId="464">
  <autoFilter ref="D19:Q31" xr:uid="{A4A0B7EB-4AE5-43A7-9599-3C3F7D18F253}"/>
  <tableColumns count="14">
    <tableColumn id="1" xr3:uid="{86C3DD4D-15EA-4DB7-8D39-695EF96E99DB}" name="NÚMERO CAVALETE" dataDxfId="463">
      <calculatedColumnFormula>LEFT(B20, FIND("-", B20)-1)</calculatedColumnFormula>
    </tableColumn>
    <tableColumn id="2" xr3:uid="{BF056E8D-FCF9-4AFD-B7FC-CEB652A8E2E5}" name="TIPO DE ROLO" dataDxfId="462">
      <calculatedColumnFormula>MID(B20, FIND("-", B20)+1, FIND("-", B20, FIND("-", B20)+1)-FIND("-", B20)-1)</calculatedColumnFormula>
    </tableColumn>
    <tableColumn id="3" xr3:uid="{CEE4FB06-AE47-4C7E-BD22-28F2C95947B8}" name="Coluna1" dataDxfId="461"/>
    <tableColumn id="4" xr3:uid="{CCF0C65C-F88A-4D47-A860-FCB65B02199B}" name="D" dataDxfId="460">
      <calculatedColumnFormula>IF(ISERROR(FIND("-D-", B20)), "", "X")</calculatedColumnFormula>
    </tableColumn>
    <tableColumn id="5" xr3:uid="{C1D09FD9-E1D9-4364-9BB0-92C0BDCBFB5D}" name="C" dataDxfId="459">
      <calculatedColumnFormula>IF(ISERROR(FIND("-C-", B20)), "", "X")</calculatedColumnFormula>
    </tableColumn>
    <tableColumn id="6" xr3:uid="{D7AEADF8-F68B-44C9-82BF-71B9DD0DCCAB}" name="E" dataDxfId="458">
      <calculatedColumnFormula>IF(ISERROR(FIND("-E-", B20)), "", "X")</calculatedColumnFormula>
    </tableColumn>
    <tableColumn id="7" xr3:uid="{62CEEB9F-0EE9-49A8-BA9C-FA1FA81CDE94}" name="Coluna2" dataDxfId="457"/>
    <tableColumn id="8" xr3:uid="{DB020BBF-224C-4EDF-BD01-3E58B10389EF}" name="P1" dataDxfId="456">
      <calculatedColumnFormula>IF(ISERROR(FIND("P1", A20)), "", "X")</calculatedColumnFormula>
    </tableColumn>
    <tableColumn id="9" xr3:uid="{9A90B910-74B9-470C-93DE-AA394F02FC2D}" name="P2" dataDxfId="455">
      <calculatedColumnFormula>IF(ISERROR(FIND("P2", A20)), "", "X")</calculatedColumnFormula>
    </tableColumn>
    <tableColumn id="10" xr3:uid="{AD36148D-8C53-43F5-865F-C1C9C83E75CB}" name="P3" dataDxfId="454">
      <calculatedColumnFormula>IF(ISERROR(FIND("P3", A20)), "", "X")</calculatedColumnFormula>
    </tableColumn>
    <tableColumn id="11" xr3:uid="{B5CF296D-8DE9-4F25-98BD-4248AADCF6A1}" name="DANO" dataDxfId="453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14A54F05-033B-453F-9D5E-D9FDEA8F3ACB}" name="Nº NOTA" dataDxfId="452"/>
    <tableColumn id="13" xr3:uid="{6EBEAD78-D10D-4DC3-B5D0-94AAE7644A99}" name="DATA INSPEÇÃO" dataDxfId="451"/>
    <tableColumn id="14" xr3:uid="{06A257C0-2989-4835-A6A4-23BDD0B2A49A}" name="FEEDBACK" dataDxfId="4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A1F16B-D9F5-48FC-BCCD-0B8D0356DF44}" name="Tabela6252412" displayName="Tabela6252412" ref="D36:Q48" totalsRowShown="0" headerRowDxfId="449" headerRowBorderDxfId="448" tableBorderDxfId="447" totalsRowBorderDxfId="446">
  <autoFilter ref="D36:Q48" xr:uid="{0EA1F16B-D9F5-48FC-BCCD-0B8D0356DF44}"/>
  <tableColumns count="14">
    <tableColumn id="1" xr3:uid="{DA826318-B79D-46E6-AD16-F745B8A040D0}" name="NÚMERO CAVALETE" dataDxfId="445">
      <calculatedColumnFormula>LEFT(B37, FIND("-", B37)-1)</calculatedColumnFormula>
    </tableColumn>
    <tableColumn id="2" xr3:uid="{AB0C1F03-4AE3-4BC7-AA74-AE76D5C23F32}" name="TIPO DE ROLO" dataDxfId="444">
      <calculatedColumnFormula>MID(B37, FIND("-", B37)+1, FIND("-", B37, FIND("-", B37)+1)-FIND("-", B37)-1)</calculatedColumnFormula>
    </tableColumn>
    <tableColumn id="3" xr3:uid="{E1958F89-6691-40F2-B391-10E5ECF01441}" name="Coluna1" dataDxfId="443"/>
    <tableColumn id="4" xr3:uid="{0DD3016E-4BCF-4A39-A264-B1B453DAEDD9}" name="D" dataDxfId="442">
      <calculatedColumnFormula>IF(ISERROR(FIND("-D-", B37)), "", "X")</calculatedColumnFormula>
    </tableColumn>
    <tableColumn id="5" xr3:uid="{A55C95C6-B151-4B4B-A3CF-DFF379CD6E51}" name="C" dataDxfId="441">
      <calculatedColumnFormula>IF(ISERROR(FIND("-C-", B37)), "", "X")</calculatedColumnFormula>
    </tableColumn>
    <tableColumn id="6" xr3:uid="{97B1DBE5-907C-4FC3-B4C2-7CF4A7CE862E}" name="E" dataDxfId="440">
      <calculatedColumnFormula>IF(ISERROR(FIND("-E-", B37)), "", "X")</calculatedColumnFormula>
    </tableColumn>
    <tableColumn id="7" xr3:uid="{D5DDC7E5-5735-4833-B4DB-FC0CA6841080}" name="Coluna2" dataDxfId="439"/>
    <tableColumn id="8" xr3:uid="{C638BEB2-410F-4E07-BCDA-8B5064DB9919}" name="P1" dataDxfId="438">
      <calculatedColumnFormula>IF(ISERROR(FIND("P1", A37)), "", "X")</calculatedColumnFormula>
    </tableColumn>
    <tableColumn id="9" xr3:uid="{680E036B-118F-4640-8082-1BFCAA6E228D}" name="P2" dataDxfId="437">
      <calculatedColumnFormula>IF(ISERROR(FIND("P2", A37)), "", "X")</calculatedColumnFormula>
    </tableColumn>
    <tableColumn id="10" xr3:uid="{08601101-12E7-471C-A8FB-FEFBB7D95119}" name="P3" dataDxfId="436">
      <calculatedColumnFormula>IF(ISERROR(FIND("P3", A37)), "", "X")</calculatedColumnFormula>
    </tableColumn>
    <tableColumn id="11" xr3:uid="{E82CFC51-2816-4BBB-B351-6031A5563D8E}" name="DANO" dataDxfId="435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03CAA64C-6BE9-412B-8E24-865BCC57F342}" name="Nº NOTA" dataDxfId="434"/>
    <tableColumn id="13" xr3:uid="{525DDC9D-36AD-4325-8603-4DE5E46D79FA}" name="DATA INSPEÇÃO" dataDxfId="433"/>
    <tableColumn id="14" xr3:uid="{E33AFA12-88F5-4E2F-8E8D-94E2E366544B}" name="FEEDBACK" dataDxfId="43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82559D-6073-462C-9C59-EC2BE2D229D8}" name="Tabela6252513" displayName="Tabela6252513" ref="D53:Q65" totalsRowShown="0" headerRowDxfId="431" headerRowBorderDxfId="430" tableBorderDxfId="429" totalsRowBorderDxfId="428">
  <autoFilter ref="D53:Q65" xr:uid="{9482559D-6073-462C-9C59-EC2BE2D229D8}"/>
  <tableColumns count="14">
    <tableColumn id="1" xr3:uid="{71D744AB-0551-44F1-AC2C-833C42C2267C}" name="NÚMERO CAVALETE" dataDxfId="427">
      <calculatedColumnFormula>LEFT(B54, FIND("-", B54)-1)</calculatedColumnFormula>
    </tableColumn>
    <tableColumn id="2" xr3:uid="{7FEB1684-0226-4A9F-AF4C-B3E9A3CD4DAD}" name="TIPO DE ROLO" dataDxfId="426">
      <calculatedColumnFormula>MID(B54, FIND("-", B54)+1, FIND("-", B54, FIND("-", B54)+1)-FIND("-", B54)-1)</calculatedColumnFormula>
    </tableColumn>
    <tableColumn id="3" xr3:uid="{A512A3D7-64F8-4823-9516-457F08660B8B}" name="Coluna1" dataDxfId="425"/>
    <tableColumn id="4" xr3:uid="{E3A87F79-A956-421E-B499-BF9C26E8FB6C}" name="D" dataDxfId="424">
      <calculatedColumnFormula>IF(ISERROR(FIND("-D-", B54)), "", "X")</calculatedColumnFormula>
    </tableColumn>
    <tableColumn id="5" xr3:uid="{EFE48BD3-0722-477E-B656-4D6E090C0C4E}" name="C" dataDxfId="423">
      <calculatedColumnFormula>IF(ISERROR(FIND("-C-", B54)), "", "X")</calculatedColumnFormula>
    </tableColumn>
    <tableColumn id="6" xr3:uid="{D239DFD2-F2C2-43E4-A9AE-48150CA95EB8}" name="E" dataDxfId="422">
      <calculatedColumnFormula>IF(ISERROR(FIND("-E-", B54)), "", "X")</calculatedColumnFormula>
    </tableColumn>
    <tableColumn id="7" xr3:uid="{CA469F8D-43F6-48E6-836B-95ECDC45E6DA}" name="Coluna2" dataDxfId="421"/>
    <tableColumn id="8" xr3:uid="{A70F0C10-4E5D-4B8B-A002-C50C9512B01C}" name="P1" dataDxfId="420">
      <calculatedColumnFormula>IF(ISERROR(FIND("P1", A54)), "", "X")</calculatedColumnFormula>
    </tableColumn>
    <tableColumn id="9" xr3:uid="{8A6D895B-8DE6-401D-919C-356F489FD99C}" name="P2" dataDxfId="419">
      <calculatedColumnFormula>IF(ISERROR(FIND("P2", A54)), "", "X")</calculatedColumnFormula>
    </tableColumn>
    <tableColumn id="10" xr3:uid="{E6A5876E-3764-4623-868C-8012C8721AE9}" name="P3" dataDxfId="418">
      <calculatedColumnFormula>IF(ISERROR(FIND("P3", A54)), "", "X")</calculatedColumnFormula>
    </tableColumn>
    <tableColumn id="11" xr3:uid="{6E71C23B-F18A-4902-A68D-237CEDE1A9E9}" name="DANO" dataDxfId="417">
      <calculatedColumnFormula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C30E7643-AA72-4157-BCF8-7BD43FD6AE46}" name="Nº NOTA" dataDxfId="416"/>
    <tableColumn id="13" xr3:uid="{B01E162B-109D-44C7-AE5D-BE8E45E3CA1A}" name="DATA INSPEÇÃO" dataDxfId="415"/>
    <tableColumn id="14" xr3:uid="{7DB51E00-3C3B-4572-A777-92B3ABD7356B}" name="FEEDBACK" dataDxfId="41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C5D4DF-5BD7-4E7F-BA4B-A1B7DD4D540F}" name="Tabela6252614" displayName="Tabela6252614" ref="D70:Q80" totalsRowShown="0" headerRowDxfId="413" headerRowBorderDxfId="412" tableBorderDxfId="411" totalsRowBorderDxfId="410">
  <autoFilter ref="D70:Q80" xr:uid="{B7C5D4DF-5BD7-4E7F-BA4B-A1B7DD4D540F}"/>
  <tableColumns count="14">
    <tableColumn id="1" xr3:uid="{65AEFD30-8CDE-4B4C-AE26-F06E241A0BFB}" name="NÚMERO CAVALETE" dataDxfId="409">
      <calculatedColumnFormula>LEFT(B71, FIND("-", B71)-1)</calculatedColumnFormula>
    </tableColumn>
    <tableColumn id="2" xr3:uid="{BF736369-71BD-49E3-A5D9-FAB0A7A346F1}" name="TIPO DE ROLO" dataDxfId="408">
      <calculatedColumnFormula>MID(B71, FIND("-", B71)+1, FIND("-", B71, FIND("-", B71)+1)-FIND("-", B71)-1)</calculatedColumnFormula>
    </tableColumn>
    <tableColumn id="3" xr3:uid="{81C2CEE3-5CF8-4DC2-851A-19F81BDAC6C3}" name="Coluna1" dataDxfId="407"/>
    <tableColumn id="4" xr3:uid="{88B0A268-56AE-45BE-AAA0-98BE1D2FEB40}" name="D" dataDxfId="406">
      <calculatedColumnFormula>IF(ISERROR(FIND("-D-", B71)), "", "X")</calculatedColumnFormula>
    </tableColumn>
    <tableColumn id="5" xr3:uid="{0FEC696A-1356-4C50-91FD-2846517F88EF}" name="C" dataDxfId="405">
      <calculatedColumnFormula>IF(ISERROR(FIND("-C-", B71)), "", "X")</calculatedColumnFormula>
    </tableColumn>
    <tableColumn id="6" xr3:uid="{E19146F5-2A34-4228-9262-68F957AEF174}" name="E" dataDxfId="404">
      <calculatedColumnFormula>IF(ISERROR(FIND("-E-", B71)), "", "X")</calculatedColumnFormula>
    </tableColumn>
    <tableColumn id="7" xr3:uid="{E9A0D04A-6EA5-4479-AF54-8BB65BD8532C}" name="Coluna2" dataDxfId="403"/>
    <tableColumn id="8" xr3:uid="{9E7A5BD8-A0E5-4C53-8920-3075CDF7D5E8}" name="P1" dataDxfId="402">
      <calculatedColumnFormula>IF(ISERROR(FIND("P1", A71)), "", "X")</calculatedColumnFormula>
    </tableColumn>
    <tableColumn id="9" xr3:uid="{D7FC4444-1E07-470B-863B-EE592DD13A84}" name="P2" dataDxfId="401">
      <calculatedColumnFormula>IF(ISERROR(FIND("P2", A71)), "", "X")</calculatedColumnFormula>
    </tableColumn>
    <tableColumn id="10" xr3:uid="{2F512C98-2049-4967-8756-38AA293A93C8}" name="P3" dataDxfId="400">
      <calculatedColumnFormula>IF(ISERROR(FIND("P3", A71)), "", "X")</calculatedColumnFormula>
    </tableColumn>
    <tableColumn id="11" xr3:uid="{EC383A46-93FD-4B84-A818-2647FFC7B65D}" name="DANO" dataDxfId="399">
      <calculatedColumnFormula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79380E92-11BE-4661-A654-939B44F86C13}" name="Nº NOTA" dataDxfId="398"/>
    <tableColumn id="13" xr3:uid="{289912DA-183A-4F7A-8EAE-F261259D137B}" name="DATA INSPEÇÃO" dataDxfId="397"/>
    <tableColumn id="14" xr3:uid="{9B470AF8-AF3C-4479-B30D-9D4831039157}" name="FEEDBACK" dataDxfId="39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2C7DCE-D890-4EBB-970F-409577E834E9}" name="Tabela62523715" displayName="Tabela62523715" ref="D85:Q97" totalsRowShown="0" headerRowDxfId="395" headerRowBorderDxfId="394" tableBorderDxfId="393" totalsRowBorderDxfId="392">
  <autoFilter ref="D85:Q97" xr:uid="{D52C7DCE-D890-4EBB-970F-409577E834E9}"/>
  <tableColumns count="14">
    <tableColumn id="1" xr3:uid="{CB867FD4-3B7B-4ADA-A92C-653534EF4535}" name="NÚMERO CAVALETE" dataDxfId="391">
      <calculatedColumnFormula>LEFT(B86, FIND("-", B86)-1)</calculatedColumnFormula>
    </tableColumn>
    <tableColumn id="2" xr3:uid="{4771E30D-3769-4F6A-88D5-1BE0D4198751}" name="TIPO DE ROLO" dataDxfId="390">
      <calculatedColumnFormula>MID(B86, FIND("-", B86)+1, FIND("-", B86, FIND("-", B86)+1)-FIND("-", B86)-1)</calculatedColumnFormula>
    </tableColumn>
    <tableColumn id="3" xr3:uid="{CC0A3C03-4FE6-4646-AEB2-C283AE86D762}" name="Coluna1" dataDxfId="389"/>
    <tableColumn id="4" xr3:uid="{29DC09CB-0D37-423E-A13C-ABCE38AC8368}" name="D" dataDxfId="388">
      <calculatedColumnFormula>IF(ISERROR(FIND("-D-", B86)), "", "X")</calculatedColumnFormula>
    </tableColumn>
    <tableColumn id="5" xr3:uid="{8CDB6685-E229-4E29-B34F-E41EB77E82C8}" name="C" dataDxfId="387">
      <calculatedColumnFormula>IF(ISERROR(FIND("-C-", B86)), "", "X")</calculatedColumnFormula>
    </tableColumn>
    <tableColumn id="6" xr3:uid="{24C21C3F-D806-482B-B539-7E58154A83BA}" name="E" dataDxfId="386">
      <calculatedColumnFormula>IF(ISERROR(FIND("-E-", B86)), "", "X")</calculatedColumnFormula>
    </tableColumn>
    <tableColumn id="7" xr3:uid="{8BA4E9B7-F569-4772-83D0-01C587DCDA7C}" name="Coluna2" dataDxfId="385"/>
    <tableColumn id="8" xr3:uid="{FF8CF8F9-5AC3-4947-B617-63CFC6C5AF68}" name="P1" dataDxfId="384">
      <calculatedColumnFormula>IF(ISERROR(FIND("P1", A86)), "", "X")</calculatedColumnFormula>
    </tableColumn>
    <tableColumn id="9" xr3:uid="{3C8CAE3E-5E02-46C7-91DC-87A6E9CC77BC}" name="P2" dataDxfId="383">
      <calculatedColumnFormula>IF(ISERROR(FIND("P2", A86)), "", "X")</calculatedColumnFormula>
    </tableColumn>
    <tableColumn id="10" xr3:uid="{41CBAFCE-EAC1-4705-BC70-B6B19D3F64E0}" name="P3" dataDxfId="382">
      <calculatedColumnFormula>IF(ISERROR(FIND("P3", A86)), "", "X")</calculatedColumnFormula>
    </tableColumn>
    <tableColumn id="11" xr3:uid="{B7403D83-FD46-48BE-AEDE-448BDA3303CD}" name="DANO" dataDxfId="381">
      <calculatedColumnFormula>IF(ISERROR(FIND("RO", B86)),
    IF(ISERROR(FIND("CD", B86)),
        IF(ISERROR(FIND("CG", B86)),
            IF(ISERROR(FIND("AG", B86)),
                IF(ISERROR(FIND("RT", B86)),
                    IF(ISERROR(FIND("RF", B86)),
                        IF(ISERROR(FIND("AM", B86)),
                            IF(ISERROR(FIND("RP", B86)),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721E7318-1678-479A-9177-83FA14A99535}" name="Nº NOTA" dataDxfId="380"/>
    <tableColumn id="13" xr3:uid="{7302E3C7-A374-4378-8553-ED21D27BC069}" name="DATA INSPEÇÃO" dataDxfId="379"/>
    <tableColumn id="14" xr3:uid="{7553F43A-E138-43F5-9EE2-03247B7D1502}" name="FEEDBACK" dataDxfId="37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DFEEF4-C43B-4871-BFBF-6C798161713F}" name="Tabela62524816" displayName="Tabela62524816" ref="D102:Q114" totalsRowShown="0" headerRowDxfId="377" headerRowBorderDxfId="376" tableBorderDxfId="375" totalsRowBorderDxfId="374">
  <autoFilter ref="D102:Q114" xr:uid="{A7DFEEF4-C43B-4871-BFBF-6C798161713F}"/>
  <tableColumns count="14">
    <tableColumn id="1" xr3:uid="{1552B453-2860-42FB-9618-02965FACB2C4}" name="NÚMERO CAVALETE" dataDxfId="373">
      <calculatedColumnFormula>LEFT(B103, FIND("-", B103)-1)</calculatedColumnFormula>
    </tableColumn>
    <tableColumn id="2" xr3:uid="{D0BF67BF-0E66-48AF-BB6F-15A624C749F2}" name="TIPO DE ROLO" dataDxfId="372">
      <calculatedColumnFormula>MID(B103, FIND("-", B103)+1, FIND("-", B103, FIND("-", B103)+1)-FIND("-", B103)-1)</calculatedColumnFormula>
    </tableColumn>
    <tableColumn id="3" xr3:uid="{763D69D4-3875-4C58-9632-44C593AA0819}" name="Coluna1" dataDxfId="371"/>
    <tableColumn id="4" xr3:uid="{8B3584D9-6D9C-4018-BD04-DC862C500316}" name="D" dataDxfId="370">
      <calculatedColumnFormula>IF(ISERROR(FIND("-D-", B103)), "", "X")</calculatedColumnFormula>
    </tableColumn>
    <tableColumn id="5" xr3:uid="{DEFEE3FF-7699-4840-A506-677FD586F3CA}" name="C" dataDxfId="369">
      <calculatedColumnFormula>IF(ISERROR(FIND("-C-", B103)), "", "X")</calculatedColumnFormula>
    </tableColumn>
    <tableColumn id="6" xr3:uid="{2B2DA5C0-05D9-4ECB-89BA-97558CCC2F45}" name="E" dataDxfId="368">
      <calculatedColumnFormula>IF(ISERROR(FIND("-E-", B103)), "", "X")</calculatedColumnFormula>
    </tableColumn>
    <tableColumn id="7" xr3:uid="{B24C9835-F820-4ADD-9131-48CE85F96CE0}" name="Coluna2" dataDxfId="367"/>
    <tableColumn id="8" xr3:uid="{FF97E121-D68F-461B-B9DB-E4AD1B508687}" name="P1" dataDxfId="366">
      <calculatedColumnFormula>IF(ISERROR(FIND("P1", A103)), "", "X")</calculatedColumnFormula>
    </tableColumn>
    <tableColumn id="9" xr3:uid="{7B2A8156-9629-451B-851C-13D2A1A6B550}" name="P2" dataDxfId="365">
      <calculatedColumnFormula>IF(ISERROR(FIND("P2", A103)), "", "X")</calculatedColumnFormula>
    </tableColumn>
    <tableColumn id="10" xr3:uid="{6F72692C-2F7B-4CD4-B2D4-9FF50DC81852}" name="P3" dataDxfId="364">
      <calculatedColumnFormula>IF(ISERROR(FIND("P3", A103)), "", "X")</calculatedColumnFormula>
    </tableColumn>
    <tableColumn id="11" xr3:uid="{F7655AB0-3B67-4E64-8EC5-FC2566E4E34C}" name="DANO" dataDxfId="363">
      <calculatedColumnFormula>IF(ISERROR(FIND("RO", B103)),
    IF(ISERROR(FIND("CD", B103)),
        IF(ISERROR(FIND("CG", B103)),
            IF(ISERROR(FIND("AG", B103)),
                IF(ISERROR(FIND("RT", B103)),
                    IF(ISERROR(FIND("RF", B103)),
                        IF(ISERROR(FIND("AM", B103)),
                            IF(ISERROR(FIND("RP", B103)),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D9C0DA84-F117-4455-8C88-BBE1D753921D}" name="Nº NOTA" dataDxfId="362"/>
    <tableColumn id="13" xr3:uid="{08C47D03-99F5-4B38-A450-0311D59BA57D}" name="DATA INSPEÇÃO" dataDxfId="361"/>
    <tableColumn id="14" xr3:uid="{00B2F309-85CB-4190-90A4-E5907C105FD4}" name="FEEDBACK" dataDxfId="36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A194613-1102-4FD0-B395-C41FECA4C514}" name="Tabela62525917" displayName="Tabela62525917" ref="D119:Q131" totalsRowShown="0" headerRowDxfId="359" headerRowBorderDxfId="358" tableBorderDxfId="357" totalsRowBorderDxfId="356">
  <autoFilter ref="D119:Q131" xr:uid="{BA194613-1102-4FD0-B395-C41FECA4C514}"/>
  <tableColumns count="14">
    <tableColumn id="1" xr3:uid="{5D24EECA-617A-4270-BB03-AE9F7FA04957}" name="NÚMERO CAVALETE" dataDxfId="355">
      <calculatedColumnFormula>LEFT(B120, FIND("-", B120)-1)</calculatedColumnFormula>
    </tableColumn>
    <tableColumn id="2" xr3:uid="{E6E9C36A-AFE7-4705-B7C2-EF2F19639FE5}" name="TIPO DE ROLO" dataDxfId="354">
      <calculatedColumnFormula>MID(B120, FIND("-", B120)+1, FIND("-", B120, FIND("-", B120)+1)-FIND("-", B120)-1)</calculatedColumnFormula>
    </tableColumn>
    <tableColumn id="3" xr3:uid="{602036BF-181A-4116-9B32-6EBF2DCA872D}" name="Coluna1" dataDxfId="353"/>
    <tableColumn id="4" xr3:uid="{F9CCFA8C-BCD9-4E69-AFEE-C1A112A4F6E5}" name="D" dataDxfId="352">
      <calculatedColumnFormula>IF(ISERROR(FIND("-D-", B120)), "", "X")</calculatedColumnFormula>
    </tableColumn>
    <tableColumn id="5" xr3:uid="{A4A0A4D0-B0E5-404F-97F2-60695CE913A0}" name="C" dataDxfId="351">
      <calculatedColumnFormula>IF(ISERROR(FIND("-C-", B120)), "", "X")</calculatedColumnFormula>
    </tableColumn>
    <tableColumn id="6" xr3:uid="{9D7D792E-DEBF-4F1C-AAAE-BF912465AB9E}" name="E" dataDxfId="350">
      <calculatedColumnFormula>IF(ISERROR(FIND("-E-", B120)), "", "X")</calculatedColumnFormula>
    </tableColumn>
    <tableColumn id="7" xr3:uid="{61C70023-DB9F-4C8A-A44F-26E01347261A}" name="Coluna2" dataDxfId="349"/>
    <tableColumn id="8" xr3:uid="{AD889750-8EEF-44E2-A894-6273BB6F3041}" name="P1" dataDxfId="348">
      <calculatedColumnFormula>IF(ISERROR(FIND("P1", A120)), "", "X")</calculatedColumnFormula>
    </tableColumn>
    <tableColumn id="9" xr3:uid="{D9929B82-98F4-436E-A843-E4F0C8EFA922}" name="P2" dataDxfId="347">
      <calculatedColumnFormula>IF(ISERROR(FIND("P2", A120)), "", "X")</calculatedColumnFormula>
    </tableColumn>
    <tableColumn id="10" xr3:uid="{A7CDF26D-B838-4E03-A540-02A9913884D7}" name="P3" dataDxfId="346">
      <calculatedColumnFormula>IF(ISERROR(FIND("P3", A120)), "", "X")</calculatedColumnFormula>
    </tableColumn>
    <tableColumn id="11" xr3:uid="{3F979E0A-F090-4F5C-B1D4-887C552E1301}" name="DANO" dataDxfId="345">
      <calculatedColumnFormula>IF(ISERROR(FIND("RO", B120)),
    IF(ISERROR(FIND("CD", B120)),
        IF(ISERROR(FIND("CG", B120)),
            IF(ISERROR(FIND("AG", B120)),
                IF(ISERROR(FIND("RT", B120)),
                    IF(ISERROR(FIND("RF", B120)),
                        IF(ISERROR(FIND("AM", B120)),
                            IF(ISERROR(FIND("RP", B120)),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57EA9AEA-F2A3-4069-BC0A-9AB23D2B5E9A}" name="Nº NOTA" dataDxfId="344"/>
    <tableColumn id="13" xr3:uid="{B55D2B8C-CEDC-42C3-9116-9B6E143BAE86}" name="DATA INSPEÇÃO" dataDxfId="343"/>
    <tableColumn id="14" xr3:uid="{CE869193-3031-42B4-BB14-B62974FE62C8}" name="FEEDBACK" dataDxfId="34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9D0CD0F-5892-4B69-9516-C2963A574AA1}" name="Tabela6252591750" displayName="Tabela6252591750" ref="D136:Q148" totalsRowShown="0" headerRowDxfId="17" headerRowBorderDxfId="15" tableBorderDxfId="16" totalsRowBorderDxfId="14">
  <autoFilter ref="D136:Q148" xr:uid="{49D0CD0F-5892-4B69-9516-C2963A574AA1}"/>
  <tableColumns count="14">
    <tableColumn id="1" xr3:uid="{2A77F0EE-F61A-4757-ABA4-0F7BEAF57E46}" name="NÚMERO CAVALETE" dataDxfId="13">
      <calculatedColumnFormula>LEFT(B137, FIND("-", B137)-1)</calculatedColumnFormula>
    </tableColumn>
    <tableColumn id="2" xr3:uid="{E3F16CB5-5706-4A28-A13B-5276D58BB13B}" name="TIPO DE ROLO" dataDxfId="12">
      <calculatedColumnFormula>MID(B137, FIND("-", B137)+1, FIND("-", B137, FIND("-", B137)+1)-FIND("-", B137)-1)</calculatedColumnFormula>
    </tableColumn>
    <tableColumn id="3" xr3:uid="{1CED0D95-F113-4C85-A949-546DFDADE48C}" name="Coluna1" dataDxfId="11"/>
    <tableColumn id="4" xr3:uid="{C60CABA8-57B6-4BB7-B630-AE6323F02360}" name="D" dataDxfId="10">
      <calculatedColumnFormula>IF(ISERROR(FIND("-D-", B137)), "", "X")</calculatedColumnFormula>
    </tableColumn>
    <tableColumn id="5" xr3:uid="{8AF71EB3-C066-4387-86E3-E882E76B5BD8}" name="C" dataDxfId="9">
      <calculatedColumnFormula>IF(ISERROR(FIND("-C-", B137)), "", "X")</calculatedColumnFormula>
    </tableColumn>
    <tableColumn id="6" xr3:uid="{B998E348-3B18-42B1-9FCD-1251306BF40C}" name="E" dataDxfId="8">
      <calculatedColumnFormula>IF(ISERROR(FIND("-E-", B137)), "", "X")</calculatedColumnFormula>
    </tableColumn>
    <tableColumn id="7" xr3:uid="{002C6C38-F62E-4BC7-812F-E48424DA6AE2}" name="Coluna2" dataDxfId="7"/>
    <tableColumn id="8" xr3:uid="{70B4A3DE-856A-44D5-9995-D5778DD05122}" name="P1" dataDxfId="6">
      <calculatedColumnFormula>IF(ISERROR(FIND("P1", A137)), "", "X")</calculatedColumnFormula>
    </tableColumn>
    <tableColumn id="9" xr3:uid="{6EB37FBA-5FEE-4A60-A26D-37CCDCBADE78}" name="P2" dataDxfId="5">
      <calculatedColumnFormula>IF(ISERROR(FIND("P2", A137)), "", "X")</calculatedColumnFormula>
    </tableColumn>
    <tableColumn id="10" xr3:uid="{18A06AC3-845B-464D-BEB3-DAA29EFF5183}" name="P3" dataDxfId="4">
      <calculatedColumnFormula>IF(ISERROR(FIND("P3", A137)), "", "X")</calculatedColumnFormula>
    </tableColumn>
    <tableColumn id="11" xr3:uid="{6568B798-8FE7-4001-BE6E-BDB7DDE628D9}" name="DANO" dataDxfId="3">
      <calculatedColumnFormula>IF(ISERROR(FIND("RO", B137)),
    IF(ISERROR(FIND("CD", B137)),
        IF(ISERROR(FIND("CG", B137)),
            IF(ISERROR(FIND("AG", B137)),
                IF(ISERROR(FIND("RT", B137)),
                    IF(ISERROR(FIND("RF", B137)),
                        IF(ISERROR(FIND("AM", B137)),
                            IF(ISERROR(FIND("RP", B137)),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511DDAC3-DAEC-4E51-96D0-2CB2B1AC92CA}" name="Nº NOTA" dataDxfId="2"/>
    <tableColumn id="13" xr3:uid="{7D1FE8AE-B524-4AF3-BC27-86BAD049BF9B}" name="DATA INSPEÇÃO" dataDxfId="1"/>
    <tableColumn id="14" xr3:uid="{E8D965EB-4B41-40D8-8B9E-825468A480F0}" name="FEEDBACK" dataDxfId="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E985401-9192-4080-8E38-D323FF1166BD}" name="Tabela625242" displayName="Tabela625242" ref="D4:Q14" totalsRowShown="0" headerRowDxfId="71" headerRowBorderDxfId="70" tableBorderDxfId="69" totalsRowBorderDxfId="68">
  <autoFilter ref="D4:Q14" xr:uid="{5E985401-9192-4080-8E38-D323FF1166BD}"/>
  <tableColumns count="14">
    <tableColumn id="1" xr3:uid="{6E47CE03-7C96-4FA5-BB55-4C5271885EC8}" name="NÚMERO CAVALETE" dataDxfId="67">
      <calculatedColumnFormula>LEFT(B5, FIND("-", B5)-1)</calculatedColumnFormula>
    </tableColumn>
    <tableColumn id="2" xr3:uid="{B5ADB8B3-03EF-4E59-BBBA-3167A5A2FE5F}" name="TIPO DE ROLO" dataDxfId="66">
      <calculatedColumnFormula>MID(B5, FIND("-", B5)+1, FIND("-", B5, FIND("-", B5)+1)-FIND("-", B5)-1)</calculatedColumnFormula>
    </tableColumn>
    <tableColumn id="3" xr3:uid="{1AF566EE-325C-41F4-A864-F59385AA5E5C}" name="Coluna1" dataDxfId="65"/>
    <tableColumn id="4" xr3:uid="{582E2328-B06F-4881-94F3-CF5BD8FFFCA1}" name="D" dataDxfId="64">
      <calculatedColumnFormula>IF(ISERROR(FIND("-D-", B5)), "", "X")</calculatedColumnFormula>
    </tableColumn>
    <tableColumn id="5" xr3:uid="{866B0F13-FD9B-4B03-963B-DF81A2C1A936}" name="C" dataDxfId="63">
      <calculatedColumnFormula>IF(ISERROR(FIND("-C-", B5)), "", "X")</calculatedColumnFormula>
    </tableColumn>
    <tableColumn id="6" xr3:uid="{B0586A01-801E-4166-8786-F5A05D156356}" name="E" dataDxfId="62">
      <calculatedColumnFormula>IF(ISERROR(FIND("-E-", B5)), "", "X")</calculatedColumnFormula>
    </tableColumn>
    <tableColumn id="7" xr3:uid="{5DC1FD96-0AE0-4813-BB9B-AF5469CC09A1}" name="Coluna2" dataDxfId="61"/>
    <tableColumn id="8" xr3:uid="{78EA7469-7DA7-4CD9-87DA-26E7BA0998E4}" name="P1" dataDxfId="60">
      <calculatedColumnFormula>IF(ISERROR(FIND("P1", A5)), "", "X")</calculatedColumnFormula>
    </tableColumn>
    <tableColumn id="9" xr3:uid="{B3FBD995-3D5E-471E-9522-33E251A27799}" name="P2" dataDxfId="59">
      <calculatedColumnFormula>IF(ISERROR(FIND("P2", A5)), "", "X")</calculatedColumnFormula>
    </tableColumn>
    <tableColumn id="10" xr3:uid="{08331B6C-B8D5-49B5-86E1-7B3F7BC319E6}" name="P3" dataDxfId="58">
      <calculatedColumnFormula>IF(ISERROR(FIND("P3", A5)), "", "X")</calculatedColumnFormula>
    </tableColumn>
    <tableColumn id="11" xr3:uid="{A0ACEDD5-D77C-43D2-ACA0-4C99AEA64784}" name="DANO" dataDxfId="57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35D8CB2A-E0D0-4EA5-B385-F38DC18963CA}" name="Nº NOTA" dataDxfId="56"/>
    <tableColumn id="13" xr3:uid="{64B7532D-B3D7-4581-A0AC-6A3B3CBAE66E}" name="DATA INSPEÇÃO" dataDxfId="55"/>
    <tableColumn id="14" xr3:uid="{165C5761-841F-46C2-9A26-92E95A1BD3A9}" name="FEEDBACK" dataDxfId="5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B345DAD-33B8-43AD-A370-D729B1FFE7C6}" name="Tabela6252343" displayName="Tabela6252343" ref="D19:Q31" totalsRowShown="0" headerRowDxfId="53" headerRowBorderDxfId="52" tableBorderDxfId="51" totalsRowBorderDxfId="50">
  <autoFilter ref="D19:Q31" xr:uid="{1B345DAD-33B8-43AD-A370-D729B1FFE7C6}"/>
  <tableColumns count="14">
    <tableColumn id="1" xr3:uid="{35FA9C0F-D570-45B7-BEB7-D99C7A980EAE}" name="NÚMERO CAVALETE" dataDxfId="49">
      <calculatedColumnFormula>LEFT(B20, FIND("-", B20)-1)</calculatedColumnFormula>
    </tableColumn>
    <tableColumn id="2" xr3:uid="{184701BF-4EE0-4D23-8B53-DF7FE5936051}" name="TIPO DE ROLO" dataDxfId="48">
      <calculatedColumnFormula>MID(B20, FIND("-", B20)+1, FIND("-", B20, FIND("-", B20)+1)-FIND("-", B20)-1)</calculatedColumnFormula>
    </tableColumn>
    <tableColumn id="3" xr3:uid="{3B0BD3F2-BE7C-4B63-8364-5170C0E932C1}" name="Coluna1" dataDxfId="47"/>
    <tableColumn id="4" xr3:uid="{08718C3F-4355-4598-B387-AD6D48412DF9}" name="D" dataDxfId="46">
      <calculatedColumnFormula>IF(ISERROR(FIND("-D-", B20)), "", "X")</calculatedColumnFormula>
    </tableColumn>
    <tableColumn id="5" xr3:uid="{324C5F59-887B-4F11-A87D-9B3CBE6D74CD}" name="C" dataDxfId="45">
      <calculatedColumnFormula>IF(ISERROR(FIND("-C-", B20)), "", "X")</calculatedColumnFormula>
    </tableColumn>
    <tableColumn id="6" xr3:uid="{6CD3CE4F-4B36-49C1-A497-A10EE8C394A7}" name="E" dataDxfId="44">
      <calculatedColumnFormula>IF(ISERROR(FIND("-E-", B20)), "", "X")</calculatedColumnFormula>
    </tableColumn>
    <tableColumn id="7" xr3:uid="{30A2A8A4-F56A-4312-8837-61C1541E4E65}" name="Coluna2" dataDxfId="43"/>
    <tableColumn id="8" xr3:uid="{1E44C119-977F-45C3-B583-9307E67DCDE9}" name="P1" dataDxfId="42">
      <calculatedColumnFormula>IF(ISERROR(FIND("P1", A20)), "", "X")</calculatedColumnFormula>
    </tableColumn>
    <tableColumn id="9" xr3:uid="{0E2AE706-8CC2-4495-9BF6-C5C812D33BB1}" name="P2" dataDxfId="41">
      <calculatedColumnFormula>IF(ISERROR(FIND("P2", A20)), "", "X")</calculatedColumnFormula>
    </tableColumn>
    <tableColumn id="10" xr3:uid="{BFE72389-3FFE-43C2-96B4-132B038D5415}" name="P3" dataDxfId="40">
      <calculatedColumnFormula>IF(ISERROR(FIND("P3", A20)), "", "X")</calculatedColumnFormula>
    </tableColumn>
    <tableColumn id="11" xr3:uid="{602C7C98-4095-4DEC-8616-67C516F555BC}" name="DANO" dataDxfId="39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147A1259-1285-438B-BF90-4C9624D91F5B}" name="Nº NOTA" dataDxfId="38"/>
    <tableColumn id="13" xr3:uid="{6453209F-D5D3-4AF4-ACB4-E6E56C4D9771}" name="DATA INSPEÇÃO" dataDxfId="37"/>
    <tableColumn id="14" xr3:uid="{CD7028A7-4472-497E-8FCC-FADAD8024C49}" name="FEEDBACK" dataDxfId="36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32877CF-325B-44F8-90B1-4CE4B96EB208}" name="Tabela6252444" displayName="Tabela6252444" ref="D36:Q48" totalsRowShown="0" headerRowDxfId="35" headerRowBorderDxfId="34" tableBorderDxfId="33" totalsRowBorderDxfId="32">
  <autoFilter ref="D36:Q48" xr:uid="{E32877CF-325B-44F8-90B1-4CE4B96EB208}"/>
  <tableColumns count="14">
    <tableColumn id="1" xr3:uid="{0DDB7A55-2A8A-4DCA-8239-204A001B4A50}" name="NÚMERO CAVALETE" dataDxfId="31">
      <calculatedColumnFormula>LEFT(B37, FIND("-", B37)-1)</calculatedColumnFormula>
    </tableColumn>
    <tableColumn id="2" xr3:uid="{EED6A88C-2318-4809-B3FC-5FBB66775237}" name="TIPO DE ROLO" dataDxfId="30">
      <calculatedColumnFormula>MID(B37, FIND("-", B37)+1, FIND("-", B37, FIND("-", B37)+1)-FIND("-", B37)-1)</calculatedColumnFormula>
    </tableColumn>
    <tableColumn id="3" xr3:uid="{7292A2E7-36EC-4223-ACC1-E2B0A3B67D6D}" name="Coluna1" dataDxfId="29"/>
    <tableColumn id="4" xr3:uid="{3B61D6D0-3541-4BD4-9679-01C19A0D5BE0}" name="D" dataDxfId="28">
      <calculatedColumnFormula>IF(ISERROR(FIND("-D-", B37)), "", "X")</calculatedColumnFormula>
    </tableColumn>
    <tableColumn id="5" xr3:uid="{15012CF3-F6A8-49F8-A938-CDFACA0483C3}" name="C" dataDxfId="27">
      <calculatedColumnFormula>IF(ISERROR(FIND("-C-", B37)), "", "X")</calculatedColumnFormula>
    </tableColumn>
    <tableColumn id="6" xr3:uid="{FC878347-E268-492A-8DFE-1C50E38BF411}" name="E" dataDxfId="26">
      <calculatedColumnFormula>IF(ISERROR(FIND("-E-", B37)), "", "X")</calculatedColumnFormula>
    </tableColumn>
    <tableColumn id="7" xr3:uid="{69B2C046-5B10-442A-917E-AF2233FDAE85}" name="Coluna2" dataDxfId="25"/>
    <tableColumn id="8" xr3:uid="{256CE70F-7A18-4B28-849C-E4D42CF0776E}" name="P1" dataDxfId="24">
      <calculatedColumnFormula>IF(ISERROR(FIND("P1", A37)), "", "X")</calculatedColumnFormula>
    </tableColumn>
    <tableColumn id="9" xr3:uid="{A05A5BD6-D56E-4F29-8769-176FCA3702ED}" name="P2" dataDxfId="23">
      <calculatedColumnFormula>IF(ISERROR(FIND("P2", A37)), "", "X")</calculatedColumnFormula>
    </tableColumn>
    <tableColumn id="10" xr3:uid="{A323496F-09A6-404D-83AC-1B680E1E8E1F}" name="P3" dataDxfId="22">
      <calculatedColumnFormula>IF(ISERROR(FIND("P3", A37)), "", "X")</calculatedColumnFormula>
    </tableColumn>
    <tableColumn id="11" xr3:uid="{F96408D9-56EE-470D-8E33-6E0EFD32C500}" name="DANO" dataDxfId="21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425B76D7-80B5-484F-810D-0AD65F4280A4}" name="Nº NOTA" dataDxfId="20"/>
    <tableColumn id="13" xr3:uid="{C77E17A5-50F2-45A8-A259-1404573ADA94}" name="DATA INSPEÇÃO" dataDxfId="19"/>
    <tableColumn id="14" xr3:uid="{FF5D84C8-EE1C-4632-A5CD-CABDC6601F7E}" name="FEEDBACK" dataDxfId="1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56834-D7BA-4451-B913-53CE8F9158AC}" name="Tabela6252" displayName="Tabela6252" ref="D4:Q14" totalsRowShown="0" headerRowDxfId="557" headerRowBorderDxfId="556" tableBorderDxfId="555" totalsRowBorderDxfId="554">
  <autoFilter ref="D4:Q14" xr:uid="{1CA56834-D7BA-4451-B913-53CE8F9158AC}"/>
  <tableColumns count="14">
    <tableColumn id="1" xr3:uid="{A7C797D0-A1BF-417F-8CFE-71CCE19ECA36}" name="NÚMERO CAVALETE" dataDxfId="553">
      <calculatedColumnFormula>LEFT(B5, FIND("-", B5)-1)</calculatedColumnFormula>
    </tableColumn>
    <tableColumn id="2" xr3:uid="{1200A368-5A6F-4E88-86BF-75C6820C8D41}" name="TIPO DE ROLO" dataDxfId="552">
      <calculatedColumnFormula>MID(B5, FIND("-", B5)+1, FIND("-", B5, FIND("-", B5)+1)-FIND("-", B5)-1)</calculatedColumnFormula>
    </tableColumn>
    <tableColumn id="3" xr3:uid="{3129738A-4B13-4C5C-866C-4AC5D434FD62}" name="Coluna1" dataDxfId="551"/>
    <tableColumn id="4" xr3:uid="{67F8F4C2-8C18-4244-B0C1-A3EE5C8AB067}" name="D" dataDxfId="550">
      <calculatedColumnFormula>IF(ISERROR(FIND("-D-", B5)), "", "X")</calculatedColumnFormula>
    </tableColumn>
    <tableColumn id="5" xr3:uid="{F78EE409-83FB-4060-A3D3-E0647287CB6C}" name="C" dataDxfId="549">
      <calculatedColumnFormula>IF(ISERROR(FIND("-C-", B5)), "", "X")</calculatedColumnFormula>
    </tableColumn>
    <tableColumn id="6" xr3:uid="{EF2FE920-391E-4016-A577-01CE5CA5B721}" name="E" dataDxfId="548">
      <calculatedColumnFormula>IF(ISERROR(FIND("-E-", B5)), "", "X")</calculatedColumnFormula>
    </tableColumn>
    <tableColumn id="7" xr3:uid="{8ED0BEB6-EAC6-403B-B48A-EEB2224E7C44}" name="Coluna2" dataDxfId="547"/>
    <tableColumn id="8" xr3:uid="{50182449-2311-4869-AFF0-7FB8B962E941}" name="P1" dataDxfId="546">
      <calculatedColumnFormula>IF(ISERROR(FIND("P1", A5)), "", "X")</calculatedColumnFormula>
    </tableColumn>
    <tableColumn id="9" xr3:uid="{670F9F19-9F0F-4444-873C-E68FBB1FAD06}" name="P2" dataDxfId="545">
      <calculatedColumnFormula>IF(ISERROR(FIND("P2", A5)), "", "X")</calculatedColumnFormula>
    </tableColumn>
    <tableColumn id="10" xr3:uid="{5D14D478-007A-494D-8084-A5F75881529D}" name="P3" dataDxfId="544">
      <calculatedColumnFormula>IF(ISERROR(FIND("P3", A5)), "", "X")</calculatedColumnFormula>
    </tableColumn>
    <tableColumn id="11" xr3:uid="{9FD9372D-7E69-4D2B-B131-F7BCA92D8107}" name="DANO" dataDxfId="543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C99192DA-499B-45B6-A60E-05DB7B13F2F2}" name="Nº NOTA" dataDxfId="542"/>
    <tableColumn id="13" xr3:uid="{676240BB-073C-43B4-9A9C-E5E233073EB7}" name="DATA INSPEÇÃO" dataDxfId="541"/>
    <tableColumn id="14" xr3:uid="{8C82B688-9E98-4737-A200-CCBE8EFD89C2}" name="FEEDBACK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C41A3-E550-4063-AB82-A3C2271E1E40}" name="Tabela62523" displayName="Tabela62523" ref="D19:Q31" totalsRowShown="0" headerRowDxfId="539" headerRowBorderDxfId="538" tableBorderDxfId="537" totalsRowBorderDxfId="536">
  <autoFilter ref="D19:Q31" xr:uid="{34BC41A3-E550-4063-AB82-A3C2271E1E40}"/>
  <tableColumns count="14">
    <tableColumn id="1" xr3:uid="{C0734751-6B2A-4944-833B-5483F704A999}" name="NÚMERO CAVALETE" dataDxfId="535">
      <calculatedColumnFormula>LEFT(B20, FIND("-", B20)-1)</calculatedColumnFormula>
    </tableColumn>
    <tableColumn id="2" xr3:uid="{F3CD6BA6-A372-44A1-9E36-1E92B1B407F8}" name="TIPO DE ROLO" dataDxfId="534">
      <calculatedColumnFormula>MID(B20, FIND("-", B20)+1, FIND("-", B20, FIND("-", B20)+1)-FIND("-", B20)-1)</calculatedColumnFormula>
    </tableColumn>
    <tableColumn id="3" xr3:uid="{E3712DD2-E9BC-4084-B93A-C7D710C02D59}" name="Coluna1" dataDxfId="533"/>
    <tableColumn id="4" xr3:uid="{CFDD9E71-2647-493B-8FE7-D82085DB79AB}" name="D" dataDxfId="532">
      <calculatedColumnFormula>IF(ISERROR(FIND("-D-", B20)), "", "X")</calculatedColumnFormula>
    </tableColumn>
    <tableColumn id="5" xr3:uid="{437F2706-3CF2-4D41-9481-39282426362A}" name="C" dataDxfId="531">
      <calculatedColumnFormula>IF(ISERROR(FIND("-C-", B20)), "", "X")</calculatedColumnFormula>
    </tableColumn>
    <tableColumn id="6" xr3:uid="{4C74E841-A747-4CED-BCC2-07A586446BAD}" name="E" dataDxfId="530">
      <calculatedColumnFormula>IF(ISERROR(FIND("-E-", B20)), "", "X")</calculatedColumnFormula>
    </tableColumn>
    <tableColumn id="7" xr3:uid="{F6636C2C-8C09-4C0D-AF79-EC4304E81558}" name="Coluna2" dataDxfId="529"/>
    <tableColumn id="8" xr3:uid="{9E955C7F-4CF2-4A0F-884C-17F5642D2F26}" name="P1" dataDxfId="528">
      <calculatedColumnFormula>IF(ISERROR(FIND("P1", A20)), "", "X")</calculatedColumnFormula>
    </tableColumn>
    <tableColumn id="9" xr3:uid="{9CB2683B-768E-47F5-9F97-044D68B40FB4}" name="P2" dataDxfId="527">
      <calculatedColumnFormula>IF(ISERROR(FIND("P2", A20)), "", "X")</calculatedColumnFormula>
    </tableColumn>
    <tableColumn id="10" xr3:uid="{CFA9B3C5-E038-439A-A996-81C29DB3FBB9}" name="P3" dataDxfId="526">
      <calculatedColumnFormula>IF(ISERROR(FIND("P3", A20)), "", "X")</calculatedColumnFormula>
    </tableColumn>
    <tableColumn id="11" xr3:uid="{F8BF751E-FCC1-4C98-92C3-A5D0D7A29067}" name="DANO" dataDxfId="525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5E304CCA-E9C6-4706-AABC-2C65039ACC2C}" name="Nº NOTA" dataDxfId="524"/>
    <tableColumn id="13" xr3:uid="{72D38B04-101E-4E7E-9EF9-E657C4D03B5B}" name="DATA INSPEÇÃO" dataDxfId="523"/>
    <tableColumn id="14" xr3:uid="{8539B45C-4D96-4645-8424-811C6687D710}" name="FEEDBACK" dataDxfId="522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6A3EA-B020-41FD-A237-B584BE3B9902}" name="Tabela62524" displayName="Tabela62524" ref="D36:Q48" totalsRowShown="0" headerRowDxfId="521" headerRowBorderDxfId="520" tableBorderDxfId="519" totalsRowBorderDxfId="518">
  <autoFilter ref="D36:Q48" xr:uid="{2FF6A3EA-B020-41FD-A237-B584BE3B9902}"/>
  <tableColumns count="14">
    <tableColumn id="1" xr3:uid="{CCC60CF0-E3FF-4AF0-8EDF-2A4152597E1D}" name="NÚMERO CAVALETE" dataDxfId="517">
      <calculatedColumnFormula>LEFT(B37, FIND("-", B37)-1)</calculatedColumnFormula>
    </tableColumn>
    <tableColumn id="2" xr3:uid="{614A1180-381D-43CD-8311-D53A3BD195BE}" name="TIPO DE ROLO" dataDxfId="516">
      <calculatedColumnFormula>MID(B37, FIND("-", B37)+1, FIND("-", B37, FIND("-", B37)+1)-FIND("-", B37)-1)</calculatedColumnFormula>
    </tableColumn>
    <tableColumn id="3" xr3:uid="{DB2FD8FD-5EB3-48F8-8735-30AB66CF17A5}" name="Coluna1" dataDxfId="515"/>
    <tableColumn id="4" xr3:uid="{AC2EDFC6-6C9D-4F1D-8E36-518DB4726901}" name="D" dataDxfId="514">
      <calculatedColumnFormula>IF(ISERROR(FIND("-D-", B37)), "", "X")</calculatedColumnFormula>
    </tableColumn>
    <tableColumn id="5" xr3:uid="{10BF37D5-B68C-4D0E-8E09-D0A57410D8BC}" name="C" dataDxfId="513">
      <calculatedColumnFormula>IF(ISERROR(FIND("-C-", B37)), "", "X")</calculatedColumnFormula>
    </tableColumn>
    <tableColumn id="6" xr3:uid="{1230E345-2E45-4F44-9D91-25D389D26341}" name="E" dataDxfId="512">
      <calculatedColumnFormula>IF(ISERROR(FIND("-E-", B37)), "", "X")</calculatedColumnFormula>
    </tableColumn>
    <tableColumn id="7" xr3:uid="{DB5C60EB-5421-4F16-956E-DEA705C2941C}" name="Coluna2" dataDxfId="511"/>
    <tableColumn id="8" xr3:uid="{98765E3B-E732-4DA8-9192-945E71D7E5A4}" name="P1" dataDxfId="510">
      <calculatedColumnFormula>IF(ISERROR(FIND("P1", A37)), "", "X")</calculatedColumnFormula>
    </tableColumn>
    <tableColumn id="9" xr3:uid="{AD02136C-8EAF-462D-B912-5EEE604375F4}" name="P2" dataDxfId="509">
      <calculatedColumnFormula>IF(ISERROR(FIND("P2", A37)), "", "X")</calculatedColumnFormula>
    </tableColumn>
    <tableColumn id="10" xr3:uid="{C69FB127-EEEE-49F2-AAB9-A771D0BF2DCE}" name="P3" dataDxfId="508">
      <calculatedColumnFormula>IF(ISERROR(FIND("P3", A37)), "", "X")</calculatedColumnFormula>
    </tableColumn>
    <tableColumn id="11" xr3:uid="{ECF141A0-9008-47F1-9C2C-FC070ECBD49B}" name="DANO" dataDxfId="507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08C2216F-7667-4AB2-A3F2-B8D2714E3A84}" name="Nº NOTA" dataDxfId="506"/>
    <tableColumn id="13" xr3:uid="{6243BE81-332D-47E6-9E5C-2DC9FC5A68F6}" name="DATA INSPEÇÃO" dataDxfId="505"/>
    <tableColumn id="14" xr3:uid="{20863D3D-5718-47A9-92A6-A7640905DD8F}" name="FEEDBACK" dataDxfId="504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CA332E-6CD8-4B5B-B7A5-642163A0FD66}" name="Tabela62525" displayName="Tabela62525" ref="D53:Q65" totalsRowShown="0" headerRowDxfId="503" headerRowBorderDxfId="502" tableBorderDxfId="501" totalsRowBorderDxfId="500">
  <autoFilter ref="D53:Q65" xr:uid="{96CA332E-6CD8-4B5B-B7A5-642163A0FD66}"/>
  <tableColumns count="14">
    <tableColumn id="1" xr3:uid="{BCF13623-9F1E-4AF7-9A0F-ADF846903DC0}" name="NÚMERO CAVALETE" dataDxfId="499">
      <calculatedColumnFormula>LEFT(B54, FIND("-", B54)-1)</calculatedColumnFormula>
    </tableColumn>
    <tableColumn id="2" xr3:uid="{315422CA-8AE6-4670-B26A-90B0A0B01BA1}" name="TIPO DE ROLO" dataDxfId="498">
      <calculatedColumnFormula>MID(B54, FIND("-", B54)+1, FIND("-", B54, FIND("-", B54)+1)-FIND("-", B54)-1)</calculatedColumnFormula>
    </tableColumn>
    <tableColumn id="3" xr3:uid="{9D5F5886-EB0D-4C20-B6D2-8FA22B6E929A}" name="Coluna1" dataDxfId="497"/>
    <tableColumn id="4" xr3:uid="{FAFB8FEB-313F-47C4-8FC0-66DF16825022}" name="D" dataDxfId="496">
      <calculatedColumnFormula>IF(ISERROR(FIND("-D-", B54)), "", "X")</calculatedColumnFormula>
    </tableColumn>
    <tableColumn id="5" xr3:uid="{FDD893A1-E283-4251-AD93-570EA038C24A}" name="C" dataDxfId="495">
      <calculatedColumnFormula>IF(ISERROR(FIND("-C-", B54)), "", "X")</calculatedColumnFormula>
    </tableColumn>
    <tableColumn id="6" xr3:uid="{A13167FD-1C09-4F42-8B61-AFC91827F21F}" name="E" dataDxfId="494">
      <calculatedColumnFormula>IF(ISERROR(FIND("-E-", B54)), "", "X")</calculatedColumnFormula>
    </tableColumn>
    <tableColumn id="7" xr3:uid="{FBCF9726-BC68-42BD-BBB2-1DFE7840A641}" name="Coluna2" dataDxfId="493"/>
    <tableColumn id="8" xr3:uid="{BB7AC49A-0C53-4E40-B57F-C5B1B0BE1785}" name="P1" dataDxfId="492">
      <calculatedColumnFormula>IF(ISERROR(FIND("P1", A54)), "", "X")</calculatedColumnFormula>
    </tableColumn>
    <tableColumn id="9" xr3:uid="{76EB546A-F902-4B9E-8657-DC980D900E45}" name="P2" dataDxfId="491">
      <calculatedColumnFormula>IF(ISERROR(FIND("P2", A54)), "", "X")</calculatedColumnFormula>
    </tableColumn>
    <tableColumn id="10" xr3:uid="{3C7CEFDF-6BFB-4A28-B53E-74E9FE132B83}" name="P3" dataDxfId="490">
      <calculatedColumnFormula>IF(ISERROR(FIND("P3", A54)), "", "X")</calculatedColumnFormula>
    </tableColumn>
    <tableColumn id="11" xr3:uid="{DF5FD8EA-9005-4483-8B9F-1A4DC6AFFF9E}" name="DANO" dataDxfId="489">
      <calculatedColumnFormula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B95D4A22-C0F1-41FA-B949-8D6CBA11B635}" name="Nº NOTA" dataDxfId="488"/>
    <tableColumn id="13" xr3:uid="{B9FD5AC8-3049-480B-9598-F86FEB0E6DC5}" name="DATA INSPEÇÃO" dataDxfId="487"/>
    <tableColumn id="14" xr3:uid="{A167C7BB-57A0-4699-BD04-B5619C88D3EC}" name="FEEDBACK" dataDxfId="48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8FFAABD-4E6D-4448-8122-21B6B3737C7F}" name="Tabela625218" displayName="Tabela625218" ref="D4:Q14" totalsRowShown="0" headerRowDxfId="341" headerRowBorderDxfId="340" tableBorderDxfId="339" totalsRowBorderDxfId="338">
  <autoFilter ref="D4:Q14" xr:uid="{08FFAABD-4E6D-4448-8122-21B6B3737C7F}"/>
  <tableColumns count="14">
    <tableColumn id="1" xr3:uid="{1D0D9A7B-6C4B-491A-A055-0F2294DFE36C}" name="NÚMERO CAVALETE" dataDxfId="337">
      <calculatedColumnFormula>LEFT(B5, FIND("-", B5)-1)</calculatedColumnFormula>
    </tableColumn>
    <tableColumn id="2" xr3:uid="{1B945185-E844-4AF7-ACF6-F35CCFEEAAC3}" name="TIPO DE ROLO" dataDxfId="336">
      <calculatedColumnFormula>MID(B5, FIND("-", B5)+1, FIND("-", B5, FIND("-", B5)+1)-FIND("-", B5)-1)</calculatedColumnFormula>
    </tableColumn>
    <tableColumn id="3" xr3:uid="{09E923CD-1D84-454F-A44A-55CB8FC067BE}" name="Coluna1" dataDxfId="335"/>
    <tableColumn id="4" xr3:uid="{8D50C18E-B1E0-407B-9529-C7CD12DC3D72}" name="D" dataDxfId="334">
      <calculatedColumnFormula>IF(ISERROR(FIND("-D-", B5)), "", "X")</calculatedColumnFormula>
    </tableColumn>
    <tableColumn id="5" xr3:uid="{D5F2EA46-2C58-4997-81D1-8F13B341B7E0}" name="C" dataDxfId="333">
      <calculatedColumnFormula>IF(ISERROR(FIND("-C-", B5)), "", "X")</calculatedColumnFormula>
    </tableColumn>
    <tableColumn id="6" xr3:uid="{B3186E0F-B28D-4B1D-AEAC-47A1E6E84496}" name="E" dataDxfId="332">
      <calculatedColumnFormula>IF(ISERROR(FIND("-E-", B5)), "", "X")</calculatedColumnFormula>
    </tableColumn>
    <tableColumn id="7" xr3:uid="{F0F5799A-56F2-43CE-84CF-B72AE04143C5}" name="Coluna2" dataDxfId="331"/>
    <tableColumn id="8" xr3:uid="{0F726B32-6BBB-4753-A3D5-F035E4C94372}" name="P1" dataDxfId="330">
      <calculatedColumnFormula>IF(ISERROR(FIND("P1", A5)), "", "X")</calculatedColumnFormula>
    </tableColumn>
    <tableColumn id="9" xr3:uid="{1CEAD50B-F096-4603-84DA-1BBB11480015}" name="P2" dataDxfId="329">
      <calculatedColumnFormula>IF(ISERROR(FIND("P2", A5)), "", "X")</calculatedColumnFormula>
    </tableColumn>
    <tableColumn id="10" xr3:uid="{BF2B6557-D8EE-4D25-8E31-22462EB4E406}" name="P3" dataDxfId="328">
      <calculatedColumnFormula>IF(ISERROR(FIND("P3", A5)), "", "X")</calculatedColumnFormula>
    </tableColumn>
    <tableColumn id="11" xr3:uid="{B742FF86-ECB1-4072-A68B-4FBFDEF16FF0}" name="DANO" dataDxfId="327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F73B9E26-4BB0-4DB2-93BA-C3AD50EFC837}" name="Nº NOTA" dataDxfId="326"/>
    <tableColumn id="13" xr3:uid="{9767FBF3-4F89-4130-B09C-8268B3D7E955}" name="DATA INSPEÇÃO" dataDxfId="325"/>
    <tableColumn id="14" xr3:uid="{660E0A15-589B-4F6E-BC01-B6DB2AB026C2}" name="FEEDBACK" dataDxfId="324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BA80B3-9A1B-4FDC-AF0F-A185AF695ED1}" name="Tabela6252319" displayName="Tabela6252319" ref="D19:Q31" totalsRowShown="0" headerRowDxfId="323" headerRowBorderDxfId="322" tableBorderDxfId="321" totalsRowBorderDxfId="320">
  <autoFilter ref="D19:Q31" xr:uid="{0ABA80B3-9A1B-4FDC-AF0F-A185AF695ED1}"/>
  <tableColumns count="14">
    <tableColumn id="1" xr3:uid="{592C1176-37DE-41F1-BDC9-4A76F4626035}" name="NÚMERO CAVALETE" dataDxfId="319">
      <calculatedColumnFormula>LEFT(B20, FIND("-", B20)-1)</calculatedColumnFormula>
    </tableColumn>
    <tableColumn id="2" xr3:uid="{862D1EAA-68C3-4DE7-B478-FF899E092538}" name="TIPO DE ROLO" dataDxfId="318">
      <calculatedColumnFormula>MID(B20, FIND("-", B20)+1, FIND("-", B20, FIND("-", B20)+1)-FIND("-", B20)-1)</calculatedColumnFormula>
    </tableColumn>
    <tableColumn id="3" xr3:uid="{35E957D2-A278-41EA-85C9-09F141B1B88D}" name="Coluna1" dataDxfId="317"/>
    <tableColumn id="4" xr3:uid="{E8979F4C-1FDF-4B80-9AC5-E3B9EBAC9CE5}" name="D" dataDxfId="316">
      <calculatedColumnFormula>IF(ISERROR(FIND("-D-", B20)), "", "X")</calculatedColumnFormula>
    </tableColumn>
    <tableColumn id="5" xr3:uid="{9883971B-7FE7-4532-8372-B20EE4908646}" name="C" dataDxfId="315">
      <calculatedColumnFormula>IF(ISERROR(FIND("-C-", B20)), "", "X")</calculatedColumnFormula>
    </tableColumn>
    <tableColumn id="6" xr3:uid="{F82BAC82-BE63-48A4-87EE-6C4CC58EE940}" name="E" dataDxfId="314">
      <calculatedColumnFormula>IF(ISERROR(FIND("-E-", B20)), "", "X")</calculatedColumnFormula>
    </tableColumn>
    <tableColumn id="7" xr3:uid="{7E74EB13-6D34-44B2-9A69-290890AE1B29}" name="Coluna2" dataDxfId="313"/>
    <tableColumn id="8" xr3:uid="{FA6D6265-F712-4CC9-8F0A-02781A25075D}" name="P1" dataDxfId="312">
      <calculatedColumnFormula>IF(ISERROR(FIND("P1", A20)), "", "X")</calculatedColumnFormula>
    </tableColumn>
    <tableColumn id="9" xr3:uid="{35B17B9D-125D-4C41-95D7-93CABFB6DD93}" name="P2" dataDxfId="311">
      <calculatedColumnFormula>IF(ISERROR(FIND("P2", A20)), "", "X")</calculatedColumnFormula>
    </tableColumn>
    <tableColumn id="10" xr3:uid="{223ECAEC-D511-4D72-9941-83BBAE4E294B}" name="P3" dataDxfId="310">
      <calculatedColumnFormula>IF(ISERROR(FIND("P3", A20)), "", "X")</calculatedColumnFormula>
    </tableColumn>
    <tableColumn id="11" xr3:uid="{A9A1E2D5-05DE-4F66-B50B-689F10A3ADFC}" name="DANO" dataDxfId="309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B47B8FAC-FC31-4859-B0BD-A5A2D5872399}" name="Nº NOTA" dataDxfId="308"/>
    <tableColumn id="13" xr3:uid="{A464AC60-7DC7-475B-B04A-AAE88B4BD18F}" name="DATA INSPEÇÃO" dataDxfId="307"/>
    <tableColumn id="14" xr3:uid="{08531D03-4DFE-4E39-96AD-9E76DE4650A8}" name="FEEDBACK" dataDxfId="306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3CE0AB-CE90-49D5-9B49-65773D0055E5}" name="Tabela6252420" displayName="Tabela6252420" ref="D36:Q48" totalsRowShown="0" headerRowDxfId="305" headerRowBorderDxfId="304" tableBorderDxfId="303" totalsRowBorderDxfId="302">
  <autoFilter ref="D36:Q48" xr:uid="{A83CE0AB-CE90-49D5-9B49-65773D0055E5}"/>
  <tableColumns count="14">
    <tableColumn id="1" xr3:uid="{698BA09B-D243-458C-BAA1-052BA4CB7A5F}" name="NÚMERO CAVALETE" dataDxfId="301">
      <calculatedColumnFormula>LEFT(B37, FIND("-", B37)-1)</calculatedColumnFormula>
    </tableColumn>
    <tableColumn id="2" xr3:uid="{84F2DA31-ADFF-4FAB-B02B-179B78FD7A4E}" name="TIPO DE ROLO" dataDxfId="300">
      <calculatedColumnFormula>MID(B37, FIND("-", B37)+1, FIND("-", B37, FIND("-", B37)+1)-FIND("-", B37)-1)</calculatedColumnFormula>
    </tableColumn>
    <tableColumn id="3" xr3:uid="{67A0E407-DA17-4BC5-BF41-22C69DC9CAE2}" name="Coluna1" dataDxfId="299"/>
    <tableColumn id="4" xr3:uid="{9A9EF999-D60E-42E6-AA8E-143BDC4EF246}" name="D" dataDxfId="298">
      <calculatedColumnFormula>IF(ISERROR(FIND("-D-", B37)), "", "X")</calculatedColumnFormula>
    </tableColumn>
    <tableColumn id="5" xr3:uid="{909F6F0F-917C-4FE1-81C8-CE235119CC58}" name="C" dataDxfId="297">
      <calculatedColumnFormula>IF(ISERROR(FIND("-C-", B37)), "", "X")</calculatedColumnFormula>
    </tableColumn>
    <tableColumn id="6" xr3:uid="{2421705B-E6AF-4DEC-8F38-7E58804F7273}" name="E" dataDxfId="296">
      <calculatedColumnFormula>IF(ISERROR(FIND("-E-", B37)), "", "X")</calculatedColumnFormula>
    </tableColumn>
    <tableColumn id="7" xr3:uid="{857DCBB0-5DB4-4740-81CF-D0BBBC78D5C5}" name="Coluna2" dataDxfId="295"/>
    <tableColumn id="8" xr3:uid="{1CA26FB7-1513-40B3-A900-C945FFFE26B8}" name="P1" dataDxfId="294">
      <calculatedColumnFormula>IF(ISERROR(FIND("P1", A37)), "", "X")</calculatedColumnFormula>
    </tableColumn>
    <tableColumn id="9" xr3:uid="{E168E242-554B-4C44-B684-1A0CE936134C}" name="P2" dataDxfId="293">
      <calculatedColumnFormula>IF(ISERROR(FIND("P2", A37)), "", "X")</calculatedColumnFormula>
    </tableColumn>
    <tableColumn id="10" xr3:uid="{419ABF6B-42DA-4049-B0A3-55E61ACA4F47}" name="P3" dataDxfId="292">
      <calculatedColumnFormula>IF(ISERROR(FIND("P3", A37)), "", "X")</calculatedColumnFormula>
    </tableColumn>
    <tableColumn id="11" xr3:uid="{D51E07C0-36CA-4A20-AFDC-16A2B325573C}" name="DANO" dataDxfId="291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C73C45E2-4EB5-43F0-A062-226D544C0A7C}" name="Nº NOTA" dataDxfId="290"/>
    <tableColumn id="13" xr3:uid="{5CE85229-1284-435E-97F6-00B1D522E345}" name="DATA INSPEÇÃO" dataDxfId="289"/>
    <tableColumn id="14" xr3:uid="{F0E3B68A-0B85-4B6B-9682-4CDA8DC70C67}" name="FEEDBACK" dataDxfId="288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FDF079-A543-4409-ACC1-0D154B07AAC3}" name="Tabela6252521" displayName="Tabela6252521" ref="D53:Q65" totalsRowShown="0" headerRowDxfId="287" headerRowBorderDxfId="286" tableBorderDxfId="285" totalsRowBorderDxfId="284">
  <autoFilter ref="D53:Q65" xr:uid="{E5FDF079-A543-4409-ACC1-0D154B07AAC3}"/>
  <tableColumns count="14">
    <tableColumn id="1" xr3:uid="{DCEDB08A-04AF-4DC8-80EA-AD8AD8702F22}" name="NÚMERO CAVALETE" dataDxfId="283">
      <calculatedColumnFormula>LEFT(B54, FIND("-", B54)-1)</calculatedColumnFormula>
    </tableColumn>
    <tableColumn id="2" xr3:uid="{184D70B0-1E1A-4F32-8837-BB168192E29E}" name="TIPO DE ROLO" dataDxfId="282">
      <calculatedColumnFormula>MID(B54, FIND("-", B54)+1, FIND("-", B54, FIND("-", B54)+1)-FIND("-", B54)-1)</calculatedColumnFormula>
    </tableColumn>
    <tableColumn id="3" xr3:uid="{70C29E7B-38D7-44C0-864C-C2658D63DC75}" name="Coluna1" dataDxfId="281"/>
    <tableColumn id="4" xr3:uid="{972517AF-8988-4CFD-A9FA-992DAF700903}" name="D" dataDxfId="280">
      <calculatedColumnFormula>IF(ISERROR(FIND("-D-", B54)), "", "X")</calculatedColumnFormula>
    </tableColumn>
    <tableColumn id="5" xr3:uid="{C2CEF495-5CAB-4BAF-840E-DF57765CC911}" name="C" dataDxfId="279">
      <calculatedColumnFormula>IF(ISERROR(FIND("-C-", B54)), "", "X")</calculatedColumnFormula>
    </tableColumn>
    <tableColumn id="6" xr3:uid="{1E1E708F-C73B-4E53-B013-F3826DD807B2}" name="E" dataDxfId="278">
      <calculatedColumnFormula>IF(ISERROR(FIND("-E-", B54)), "", "X")</calculatedColumnFormula>
    </tableColumn>
    <tableColumn id="7" xr3:uid="{D0B8D54D-4CE3-4A61-8645-EF4EAF3E6F48}" name="Coluna2" dataDxfId="277"/>
    <tableColumn id="8" xr3:uid="{A47917CE-5B88-439E-B098-5FF830A460F7}" name="P1" dataDxfId="276">
      <calculatedColumnFormula>IF(ISERROR(FIND("P1", A54)), "", "X")</calculatedColumnFormula>
    </tableColumn>
    <tableColumn id="9" xr3:uid="{589CB92F-09BE-4C85-9541-CDB75CC7A75E}" name="P2" dataDxfId="275">
      <calculatedColumnFormula>IF(ISERROR(FIND("P2", A54)), "", "X")</calculatedColumnFormula>
    </tableColumn>
    <tableColumn id="10" xr3:uid="{233C4F65-221E-478F-A357-0EB339DCAFEA}" name="P3" dataDxfId="274">
      <calculatedColumnFormula>IF(ISERROR(FIND("P3", A54)), "", "X")</calculatedColumnFormula>
    </tableColumn>
    <tableColumn id="11" xr3:uid="{064BE85F-514D-40C1-9723-791654795D70}" name="DANO" dataDxfId="273">
      <calculatedColumnFormula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4EA5E89B-664B-41DB-93C4-BE4C7AE59C33}" name="Nº NOTA" dataDxfId="272"/>
    <tableColumn id="13" xr3:uid="{9BC9652A-45BE-4E93-91B1-6656F22F6631}" name="DATA INSPEÇÃO" dataDxfId="271"/>
    <tableColumn id="14" xr3:uid="{60972700-6020-40B5-ABAA-2FD172EC55A5}" name="FEEDBACK" dataDxfId="270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03E1BFD-BBF4-421C-AEC8-39F38DAF5DC1}" name="Tabela6252622" displayName="Tabela6252622" ref="D70:Q80" totalsRowShown="0" headerRowDxfId="269" headerRowBorderDxfId="268" tableBorderDxfId="267" totalsRowBorderDxfId="266">
  <autoFilter ref="D70:Q80" xr:uid="{C03E1BFD-BBF4-421C-AEC8-39F38DAF5DC1}"/>
  <tableColumns count="14">
    <tableColumn id="1" xr3:uid="{49DE8F78-52AD-4B57-8A82-54C56D5D2BFF}" name="NÚMERO CAVALETE" dataDxfId="265">
      <calculatedColumnFormula>LEFT(B71, FIND("-", B71)-1)</calculatedColumnFormula>
    </tableColumn>
    <tableColumn id="2" xr3:uid="{E29591E7-82AB-4D8D-9B09-31FADA3F9026}" name="TIPO DE ROLO" dataDxfId="264">
      <calculatedColumnFormula>MID(B71, FIND("-", B71)+1, FIND("-", B71, FIND("-", B71)+1)-FIND("-", B71)-1)</calculatedColumnFormula>
    </tableColumn>
    <tableColumn id="3" xr3:uid="{18C4A415-7097-431C-BEBF-DE276AE026A2}" name="Coluna1" dataDxfId="263"/>
    <tableColumn id="4" xr3:uid="{6787657A-07CF-46BE-B744-DC3A7981947C}" name="D" dataDxfId="262">
      <calculatedColumnFormula>IF(ISERROR(FIND("-D-", B71)), "", "X")</calculatedColumnFormula>
    </tableColumn>
    <tableColumn id="5" xr3:uid="{C480019A-4C81-42AE-BF2A-E162ACA078CB}" name="C" dataDxfId="261">
      <calculatedColumnFormula>IF(ISERROR(FIND("-C-", B71)), "", "X")</calculatedColumnFormula>
    </tableColumn>
    <tableColumn id="6" xr3:uid="{EA9B30D9-EA85-44BB-8F7E-1816882D544F}" name="E" dataDxfId="260">
      <calculatedColumnFormula>IF(ISERROR(FIND("-E-", B71)), "", "X")</calculatedColumnFormula>
    </tableColumn>
    <tableColumn id="7" xr3:uid="{61568A4F-F12F-4B7F-867D-693EE496E4EB}" name="Coluna2" dataDxfId="259"/>
    <tableColumn id="8" xr3:uid="{D1D3628C-DBBE-47D4-9475-D42E97259E1E}" name="P1" dataDxfId="258">
      <calculatedColumnFormula>IF(ISERROR(FIND("P1", A71)), "", "X")</calculatedColumnFormula>
    </tableColumn>
    <tableColumn id="9" xr3:uid="{5E7F11CE-5550-489F-9FB5-7BAB2E2B177E}" name="P2" dataDxfId="257">
      <calculatedColumnFormula>IF(ISERROR(FIND("P2", A71)), "", "X")</calculatedColumnFormula>
    </tableColumn>
    <tableColumn id="10" xr3:uid="{BC5D912F-4354-4922-8BB1-990AA1665DA9}" name="P3" dataDxfId="256">
      <calculatedColumnFormula>IF(ISERROR(FIND("P3", A71)), "", "X")</calculatedColumnFormula>
    </tableColumn>
    <tableColumn id="11" xr3:uid="{4FC99A86-9743-4D9B-BD46-C9D703B0ABC7}" name="DANO" dataDxfId="255">
      <calculatedColumnFormula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556D4AE2-1983-47CE-9558-38242D223609}" name="Nº NOTA" dataDxfId="254"/>
    <tableColumn id="13" xr3:uid="{6AB74E23-F5E0-409D-83D4-A881D210C773}" name="DATA INSPEÇÃO" dataDxfId="253"/>
    <tableColumn id="14" xr3:uid="{EF2FB8A1-7E8D-4B19-B6C9-52DC06E788FD}" name="FEEDBACK" dataDxfId="25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49BFB23-41CE-4F34-BF59-F5D6ECF0272D}" name="Tabela62523723" displayName="Tabela62523723" ref="D85:Q97" totalsRowShown="0" headerRowDxfId="251" headerRowBorderDxfId="250" tableBorderDxfId="249" totalsRowBorderDxfId="248">
  <autoFilter ref="D85:Q97" xr:uid="{A49BFB23-41CE-4F34-BF59-F5D6ECF0272D}"/>
  <tableColumns count="14">
    <tableColumn id="1" xr3:uid="{BE828441-592C-4386-A390-10EF37DF49B5}" name="NÚMERO CAVALETE" dataDxfId="247">
      <calculatedColumnFormula>LEFT(B86, FIND("-", B86)-1)</calculatedColumnFormula>
    </tableColumn>
    <tableColumn id="2" xr3:uid="{683C454D-1B5C-44D5-A74D-5326E31E7781}" name="TIPO DE ROLO" dataDxfId="246">
      <calculatedColumnFormula>MID(B86, FIND("-", B86)+1, FIND("-", B86, FIND("-", B86)+1)-FIND("-", B86)-1)</calculatedColumnFormula>
    </tableColumn>
    <tableColumn id="3" xr3:uid="{7C0A8999-5C39-4CAE-ACB0-13861340243B}" name="Coluna1" dataDxfId="245"/>
    <tableColumn id="4" xr3:uid="{42AE54F1-91CB-47EC-96E0-1ED584B254D9}" name="D" dataDxfId="244">
      <calculatedColumnFormula>IF(ISERROR(FIND("-D-", B86)), "", "X")</calculatedColumnFormula>
    </tableColumn>
    <tableColumn id="5" xr3:uid="{206A17E7-5E78-4E4C-A7CA-4E22103349FA}" name="C" dataDxfId="243">
      <calculatedColumnFormula>IF(ISERROR(FIND("-C-", B86)), "", "X")</calculatedColumnFormula>
    </tableColumn>
    <tableColumn id="6" xr3:uid="{97E39998-4722-48D0-93DC-1FCF29ADB536}" name="E" dataDxfId="242">
      <calculatedColumnFormula>IF(ISERROR(FIND("-E-", B86)), "", "X")</calculatedColumnFormula>
    </tableColumn>
    <tableColumn id="7" xr3:uid="{EB3DEF28-FC9F-400C-817A-B3CD2EFEA6E4}" name="Coluna2" dataDxfId="241"/>
    <tableColumn id="8" xr3:uid="{4B17570B-06B7-4677-9BC0-59C7244AE343}" name="P1" dataDxfId="240">
      <calculatedColumnFormula>IF(ISERROR(FIND("P1", A86)), "", "X")</calculatedColumnFormula>
    </tableColumn>
    <tableColumn id="9" xr3:uid="{636B8EB9-4013-48C7-9387-36ACE8196A8C}" name="P2" dataDxfId="239">
      <calculatedColumnFormula>IF(ISERROR(FIND("P2", A86)), "", "X")</calculatedColumnFormula>
    </tableColumn>
    <tableColumn id="10" xr3:uid="{20051FB8-4B07-4B3B-B6A2-E7AAADB6E654}" name="P3" dataDxfId="238">
      <calculatedColumnFormula>IF(ISERROR(FIND("P3", A86)), "", "X")</calculatedColumnFormula>
    </tableColumn>
    <tableColumn id="11" xr3:uid="{920C02D6-AA52-4804-81E4-ADD438E1C53B}" name="DANO" dataDxfId="237">
      <calculatedColumnFormula>IF(ISERROR(FIND("RO", B86)),
    IF(ISERROR(FIND("CD", B86)),
        IF(ISERROR(FIND("CG", B86)),
            IF(ISERROR(FIND("AG", B86)),
                IF(ISERROR(FIND("RT", B86)),
                    IF(ISERROR(FIND("RF", B86)),
                        IF(ISERROR(FIND("AM", B86)),
                            IF(ISERROR(FIND("RP", B86)),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EDFAF131-CEAD-425D-902B-F6D970F8B6B1}" name="Nº NOTA" dataDxfId="236"/>
    <tableColumn id="13" xr3:uid="{8927F436-4BB2-4258-A08B-6E258D5C0FB7}" name="DATA INSPEÇÃO" dataDxfId="235"/>
    <tableColumn id="14" xr3:uid="{6F9C1674-C6DA-49AC-8A07-76B93EC28BA2}" name="FEEDBACK" dataDxfId="23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9190A4F-E8DF-4D04-A38A-12F9AE372C1A}" name="Tabela62524824" displayName="Tabela62524824" ref="D102:Q114" totalsRowShown="0" headerRowDxfId="233" headerRowBorderDxfId="232" tableBorderDxfId="231" totalsRowBorderDxfId="230">
  <autoFilter ref="D102:Q114" xr:uid="{39190A4F-E8DF-4D04-A38A-12F9AE372C1A}"/>
  <tableColumns count="14">
    <tableColumn id="1" xr3:uid="{1AFA69F8-7A4E-4E44-9EE1-BE8BAC1B3D96}" name="NÚMERO CAVALETE" dataDxfId="229">
      <calculatedColumnFormula>LEFT(B103, FIND("-", B103)-1)</calculatedColumnFormula>
    </tableColumn>
    <tableColumn id="2" xr3:uid="{43C29519-293A-42B1-A8F8-B113BB5C6D37}" name="TIPO DE ROLO" dataDxfId="228">
      <calculatedColumnFormula>MID(B103, FIND("-", B103)+1, FIND("-", B103, FIND("-", B103)+1)-FIND("-", B103)-1)</calculatedColumnFormula>
    </tableColumn>
    <tableColumn id="3" xr3:uid="{1D2B0AB6-9F1B-4F05-8394-11A0B4FCE2CB}" name="Coluna1" dataDxfId="227"/>
    <tableColumn id="4" xr3:uid="{C44AACC0-50E8-481C-8DA7-1661D25FB57E}" name="D" dataDxfId="226">
      <calculatedColumnFormula>IF(ISERROR(FIND("-D-", B103)), "", "X")</calculatedColumnFormula>
    </tableColumn>
    <tableColumn id="5" xr3:uid="{287C9052-49A4-4430-BB3C-D61F32802442}" name="C" dataDxfId="225">
      <calculatedColumnFormula>IF(ISERROR(FIND("-C-", B103)), "", "X")</calculatedColumnFormula>
    </tableColumn>
    <tableColumn id="6" xr3:uid="{F1E38ED3-62E6-4E2B-8C47-E12761CA8C6E}" name="E" dataDxfId="224">
      <calculatedColumnFormula>IF(ISERROR(FIND("-E-", B103)), "", "X")</calculatedColumnFormula>
    </tableColumn>
    <tableColumn id="7" xr3:uid="{D38869DD-F950-410F-A8EC-5A46B41CD5BC}" name="Coluna2" dataDxfId="223"/>
    <tableColumn id="8" xr3:uid="{A1FC7280-1ABE-43E4-97F1-60A715929BF3}" name="P1" dataDxfId="222">
      <calculatedColumnFormula>IF(ISERROR(FIND("P1", A103)), "", "X")</calculatedColumnFormula>
    </tableColumn>
    <tableColumn id="9" xr3:uid="{D940ACDB-38E0-4940-9E19-002BCA86998C}" name="P2" dataDxfId="221">
      <calculatedColumnFormula>IF(ISERROR(FIND("P2", A103)), "", "X")</calculatedColumnFormula>
    </tableColumn>
    <tableColumn id="10" xr3:uid="{4D3FABA2-B3A0-44A1-B2BC-FAFB483292C9}" name="P3" dataDxfId="220">
      <calculatedColumnFormula>IF(ISERROR(FIND("P3", A103)), "", "X")</calculatedColumnFormula>
    </tableColumn>
    <tableColumn id="11" xr3:uid="{741AABF9-986B-4CB8-9299-2A9C1B20BF20}" name="DANO" dataDxfId="219">
      <calculatedColumnFormula>IF(ISERROR(FIND("RO", B103)),
    IF(ISERROR(FIND("CD", B103)),
        IF(ISERROR(FIND("CG", B103)),
            IF(ISERROR(FIND("AG", B103)),
                IF(ISERROR(FIND("RT", B103)),
                    IF(ISERROR(FIND("RF", B103)),
                        IF(ISERROR(FIND("AM", B103)),
                            IF(ISERROR(FIND("RP", B103)),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AA607690-956E-486A-8948-F13809162E32}" name="Nº NOTA" dataDxfId="218"/>
    <tableColumn id="13" xr3:uid="{4EAC63EC-E468-4A4C-A13C-BEFBF80DC154}" name="DATA INSPEÇÃO" dataDxfId="217"/>
    <tableColumn id="14" xr3:uid="{20611B5A-5033-453B-84B1-F6E4C16D49E3}" name="FEEDBACK" dataDxfId="216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2C89BB4-6CC6-4DD0-B54B-FD6750708F88}" name="Tabela625226" displayName="Tabela625226" ref="D4:Q14" totalsRowShown="0" headerRowDxfId="215" headerRowBorderDxfId="214" tableBorderDxfId="213" totalsRowBorderDxfId="212">
  <autoFilter ref="D4:Q14" xr:uid="{A2C89BB4-6CC6-4DD0-B54B-FD6750708F88}"/>
  <tableColumns count="14">
    <tableColumn id="1" xr3:uid="{34B44CDD-4185-4724-8876-C082FED9E999}" name="NÚMERO CAVALETE" dataDxfId="211">
      <calculatedColumnFormula>LEFT(B5, FIND("-", B5)-1)</calculatedColumnFormula>
    </tableColumn>
    <tableColumn id="2" xr3:uid="{957BFBDE-5ED3-45CA-976D-680E17758895}" name="TIPO DE ROLO" dataDxfId="210">
      <calculatedColumnFormula>MID(B5, FIND("-", B5)+1, FIND("-", B5, FIND("-", B5)+1)-FIND("-", B5)-1)</calculatedColumnFormula>
    </tableColumn>
    <tableColumn id="3" xr3:uid="{C5C48685-838A-43CC-80A3-010B9BBDA6F3}" name="Coluna1" dataDxfId="209"/>
    <tableColumn id="4" xr3:uid="{5B713450-6D58-402D-8E7C-C18323BA829C}" name="D" dataDxfId="208">
      <calculatedColumnFormula>IF(ISERROR(FIND("-D-", B5)), "", "X")</calculatedColumnFormula>
    </tableColumn>
    <tableColumn id="5" xr3:uid="{7FCD0C53-218B-4183-A9D9-98CB586FE08D}" name="C" dataDxfId="207">
      <calculatedColumnFormula>IF(ISERROR(FIND("-C-", B5)), "", "X")</calculatedColumnFormula>
    </tableColumn>
    <tableColumn id="6" xr3:uid="{DEFEA0AA-A5C3-40F9-B166-7EE68C492A89}" name="E" dataDxfId="206">
      <calculatedColumnFormula>IF(ISERROR(FIND("-E-", B5)), "", "X")</calculatedColumnFormula>
    </tableColumn>
    <tableColumn id="7" xr3:uid="{FFF07079-490B-479A-9ECC-A43FC5336C22}" name="Coluna2" dataDxfId="205"/>
    <tableColumn id="8" xr3:uid="{5D3F00B1-1F59-47F0-AB89-941EA6FBAD18}" name="P1" dataDxfId="204">
      <calculatedColumnFormula>IF(ISERROR(FIND("P1", A5)), "", "X")</calculatedColumnFormula>
    </tableColumn>
    <tableColumn id="9" xr3:uid="{C8DAD993-955B-4837-A382-1DDD119803B2}" name="P2" dataDxfId="203">
      <calculatedColumnFormula>IF(ISERROR(FIND("P2", A5)), "", "X")</calculatedColumnFormula>
    </tableColumn>
    <tableColumn id="10" xr3:uid="{9CD03F56-55CE-4A28-9509-6F4E7E8F3E96}" name="P3" dataDxfId="202">
      <calculatedColumnFormula>IF(ISERROR(FIND("P3", A5)), "", "X")</calculatedColumnFormula>
    </tableColumn>
    <tableColumn id="11" xr3:uid="{B7D954AC-8B26-4B84-B16E-5CC5F3509370}" name="DANO" dataDxfId="201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B09AA682-F07E-4111-89BA-122A4D4D0122}" name="Nº NOTA" dataDxfId="200"/>
    <tableColumn id="13" xr3:uid="{E7CB9656-22FC-4163-97FF-136A5C482B54}" name="DATA INSPEÇÃO" dataDxfId="199"/>
    <tableColumn id="14" xr3:uid="{EBD9555F-BE79-4E87-B061-C1018F9DD0C0}" name="FEEDBACK" dataDxfId="198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A7DA054-4E04-42BB-886C-54F85A407A33}" name="Tabela6252327" displayName="Tabela6252327" ref="D19:Q31" totalsRowShown="0" headerRowDxfId="197" headerRowBorderDxfId="196" tableBorderDxfId="195" totalsRowBorderDxfId="194">
  <autoFilter ref="D19:Q31" xr:uid="{3A7DA054-4E04-42BB-886C-54F85A407A33}"/>
  <tableColumns count="14">
    <tableColumn id="1" xr3:uid="{6F282FEE-367A-4233-B9C8-6F7E0C96792C}" name="NÚMERO CAVALETE" dataDxfId="193">
      <calculatedColumnFormula>LEFT(B20, FIND("-", B20)-1)</calculatedColumnFormula>
    </tableColumn>
    <tableColumn id="2" xr3:uid="{A73CB742-03B6-4E2F-AECA-C6C550C23114}" name="TIPO DE ROLO" dataDxfId="192">
      <calculatedColumnFormula>MID(B20, FIND("-", B20)+1, FIND("-", B20, FIND("-", B20)+1)-FIND("-", B20)-1)</calculatedColumnFormula>
    </tableColumn>
    <tableColumn id="3" xr3:uid="{1D7D7D53-3F0C-4C79-9474-107B00B3E11A}" name="Coluna1" dataDxfId="191"/>
    <tableColumn id="4" xr3:uid="{9DF1D79A-99DE-4085-ABE3-1EDA68E40D6D}" name="D" dataDxfId="190">
      <calculatedColumnFormula>IF(ISERROR(FIND("-D-", B20)), "", "X")</calculatedColumnFormula>
    </tableColumn>
    <tableColumn id="5" xr3:uid="{38E7AC26-731E-417C-8A19-8DBB262E60EC}" name="C" dataDxfId="189">
      <calculatedColumnFormula>IF(ISERROR(FIND("-C-", B20)), "", "X")</calculatedColumnFormula>
    </tableColumn>
    <tableColumn id="6" xr3:uid="{80F71861-E90B-45EE-9489-6E05D5457D3D}" name="E" dataDxfId="188">
      <calculatedColumnFormula>IF(ISERROR(FIND("-E-", B20)), "", "X")</calculatedColumnFormula>
    </tableColumn>
    <tableColumn id="7" xr3:uid="{25841EFF-6484-4D6C-9051-F2E852FBA509}" name="Coluna2" dataDxfId="187"/>
    <tableColumn id="8" xr3:uid="{4C5AD404-8DA1-43DC-93B7-8F5014EDE7FB}" name="P1" dataDxfId="186">
      <calculatedColumnFormula>IF(ISERROR(FIND("P1", A20)), "", "X")</calculatedColumnFormula>
    </tableColumn>
    <tableColumn id="9" xr3:uid="{E444D12C-8E06-4B22-A72F-43A9096B95D4}" name="P2" dataDxfId="185">
      <calculatedColumnFormula>IF(ISERROR(FIND("P2", A20)), "", "X")</calculatedColumnFormula>
    </tableColumn>
    <tableColumn id="10" xr3:uid="{D05FB585-E5F0-4098-83D9-73A6C28A4EDD}" name="P3" dataDxfId="184">
      <calculatedColumnFormula>IF(ISERROR(FIND("P3", A20)), "", "X")</calculatedColumnFormula>
    </tableColumn>
    <tableColumn id="11" xr3:uid="{D1B88AF3-1D71-42CC-9706-28E494C78133}" name="DANO" dataDxfId="183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DBCB85B1-4DDF-4762-AD7B-EEF4482A5E89}" name="Nº NOTA" dataDxfId="182"/>
    <tableColumn id="13" xr3:uid="{96B20CB5-D7E4-416A-8462-50D46F16E530}" name="DATA INSPEÇÃO" dataDxfId="181"/>
    <tableColumn id="14" xr3:uid="{702FBBE3-5B91-44DD-83AA-14757EE82115}" name="FEEDBACK" dataDxfId="180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5F13B60-BFAF-4FAB-A531-32CB55C591BA}" name="Tabela6252428" displayName="Tabela6252428" ref="D36:Q48" totalsRowShown="0" headerRowDxfId="179" headerRowBorderDxfId="178" tableBorderDxfId="177" totalsRowBorderDxfId="176">
  <autoFilter ref="D36:Q48" xr:uid="{45F13B60-BFAF-4FAB-A531-32CB55C591BA}"/>
  <tableColumns count="14">
    <tableColumn id="1" xr3:uid="{CC8E064E-E3B1-41E1-9A50-A5DC7E817C3E}" name="NÚMERO CAVALETE" dataDxfId="175">
      <calculatedColumnFormula>LEFT(B37, FIND("-", B37)-1)</calculatedColumnFormula>
    </tableColumn>
    <tableColumn id="2" xr3:uid="{F11EBA30-4ADC-43A2-A0AA-A515B1032081}" name="TIPO DE ROLO" dataDxfId="174">
      <calculatedColumnFormula>MID(B37, FIND("-", B37)+1, FIND("-", B37, FIND("-", B37)+1)-FIND("-", B37)-1)</calculatedColumnFormula>
    </tableColumn>
    <tableColumn id="3" xr3:uid="{1D7DA8DD-7229-4D0A-9710-D4CF83AA5480}" name="Coluna1" dataDxfId="173"/>
    <tableColumn id="4" xr3:uid="{2A19B9B8-C60E-4B9A-9C52-50593325A02E}" name="D" dataDxfId="172">
      <calculatedColumnFormula>IF(ISERROR(FIND("-D-", B37)), "", "X")</calculatedColumnFormula>
    </tableColumn>
    <tableColumn id="5" xr3:uid="{0E0CAC1C-9843-4A87-B41C-BDDEC3A21E77}" name="C" dataDxfId="171">
      <calculatedColumnFormula>IF(ISERROR(FIND("-C-", B37)), "", "X")</calculatedColumnFormula>
    </tableColumn>
    <tableColumn id="6" xr3:uid="{CA06D174-0AC2-47A8-9BD5-C8396A9C7359}" name="E" dataDxfId="170">
      <calculatedColumnFormula>IF(ISERROR(FIND("-E-", B37)), "", "X")</calculatedColumnFormula>
    </tableColumn>
    <tableColumn id="7" xr3:uid="{754FE975-CC32-42E3-BAF7-4CEDD0272BE3}" name="Coluna2" dataDxfId="169"/>
    <tableColumn id="8" xr3:uid="{C02E5760-0522-4C23-AA80-6B3935AF8B2E}" name="P1" dataDxfId="168">
      <calculatedColumnFormula>IF(ISERROR(FIND("P1", A37)), "", "X")</calculatedColumnFormula>
    </tableColumn>
    <tableColumn id="9" xr3:uid="{80614449-7DB5-409D-9ECA-BC7340E0DA1C}" name="P2" dataDxfId="167">
      <calculatedColumnFormula>IF(ISERROR(FIND("P2", A37)), "", "X")</calculatedColumnFormula>
    </tableColumn>
    <tableColumn id="10" xr3:uid="{759D17C4-03C9-435A-A09C-CDE5FDEE9D04}" name="P3" dataDxfId="166">
      <calculatedColumnFormula>IF(ISERROR(FIND("P3", A37)), "", "X")</calculatedColumnFormula>
    </tableColumn>
    <tableColumn id="11" xr3:uid="{2F7B3C14-ECEB-46C9-9BCD-B50DBCA6C8C7}" name="DANO" dataDxfId="165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D99B06CD-5CDF-4A06-9213-DB657C240443}" name="Nº NOTA" dataDxfId="164"/>
    <tableColumn id="13" xr3:uid="{5683C208-467E-4C08-97A0-6057529A380B}" name="DATA INSPEÇÃO" dataDxfId="163"/>
    <tableColumn id="14" xr3:uid="{F4F6419F-E51A-45D1-A2AB-100CA4A35B49}" name="FEEDBACK" dataDxfId="162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44E1FE5-9790-4042-A98F-93BAAB0A6ABD}" name="Tabela6252529" displayName="Tabela6252529" ref="D53:Q65" totalsRowShown="0" headerRowDxfId="161" headerRowBorderDxfId="160" tableBorderDxfId="159" totalsRowBorderDxfId="158">
  <autoFilter ref="D53:Q65" xr:uid="{C44E1FE5-9790-4042-A98F-93BAAB0A6ABD}"/>
  <tableColumns count="14">
    <tableColumn id="1" xr3:uid="{6C8C5DE0-3491-43DC-AD19-BB972CC7B169}" name="NÚMERO CAVALETE" dataDxfId="157">
      <calculatedColumnFormula>LEFT(B54, FIND("-", B54)-1)</calculatedColumnFormula>
    </tableColumn>
    <tableColumn id="2" xr3:uid="{2D3FC9CB-F7E0-46D7-940B-A0E43C2D2559}" name="TIPO DE ROLO" dataDxfId="156">
      <calculatedColumnFormula>MID(B54, FIND("-", B54)+1, FIND("-", B54, FIND("-", B54)+1)-FIND("-", B54)-1)</calculatedColumnFormula>
    </tableColumn>
    <tableColumn id="3" xr3:uid="{5CE08D94-291F-424E-BE59-7540373D4515}" name="Coluna1" dataDxfId="155"/>
    <tableColumn id="4" xr3:uid="{8E5B8D13-A009-4F56-BE5C-22E2E9EA78AA}" name="D" dataDxfId="154">
      <calculatedColumnFormula>IF(ISERROR(FIND("-D-", B54)), "", "X")</calculatedColumnFormula>
    </tableColumn>
    <tableColumn id="5" xr3:uid="{E0031A65-B4CF-4D4D-A4B3-167DBE9CB477}" name="C" dataDxfId="153">
      <calculatedColumnFormula>IF(ISERROR(FIND("-C-", B54)), "", "X")</calculatedColumnFormula>
    </tableColumn>
    <tableColumn id="6" xr3:uid="{ACFAC707-57BA-4666-8F25-A9C6887248C3}" name="E" dataDxfId="152">
      <calculatedColumnFormula>IF(ISERROR(FIND("-E-", B54)), "", "X")</calculatedColumnFormula>
    </tableColumn>
    <tableColumn id="7" xr3:uid="{C87CC46A-D5E3-40D5-8DCD-6813A1DB2C43}" name="Coluna2" dataDxfId="151"/>
    <tableColumn id="8" xr3:uid="{C238582F-16B1-4881-BD59-C79A50E198E2}" name="P1" dataDxfId="150">
      <calculatedColumnFormula>IF(ISERROR(FIND("P1", A54)), "", "X")</calculatedColumnFormula>
    </tableColumn>
    <tableColumn id="9" xr3:uid="{443BABF2-1186-4614-B580-36F77926B2FF}" name="P2" dataDxfId="149">
      <calculatedColumnFormula>IF(ISERROR(FIND("P2", A54)), "", "X")</calculatedColumnFormula>
    </tableColumn>
    <tableColumn id="10" xr3:uid="{E99E2AF9-A604-4510-A327-614E6EF422BF}" name="P3" dataDxfId="148">
      <calculatedColumnFormula>IF(ISERROR(FIND("P3", A54)), "", "X")</calculatedColumnFormula>
    </tableColumn>
    <tableColumn id="11" xr3:uid="{CA391FB3-60B0-4DBA-8139-31DE87A66623}" name="DANO" dataDxfId="147">
      <calculatedColumnFormula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62A64C6D-34DA-4886-8940-AD3FC8C7A184}" name="Nº NOTA" dataDxfId="146"/>
    <tableColumn id="13" xr3:uid="{4471736A-060E-4B61-8359-57DF0EA55965}" name="DATA INSPEÇÃO" dataDxfId="145"/>
    <tableColumn id="14" xr3:uid="{7857E042-9F91-4542-8311-2141C2C4E996}" name="FEEDBACK" dataDxfId="144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7F5436C-A1A3-46CC-B830-307197EF1192}" name="Tabela6252630" displayName="Tabela6252630" ref="D70:Q80" totalsRowShown="0" headerRowDxfId="143" headerRowBorderDxfId="142" tableBorderDxfId="141" totalsRowBorderDxfId="140">
  <autoFilter ref="D70:Q80" xr:uid="{F7F5436C-A1A3-46CC-B830-307197EF1192}"/>
  <tableColumns count="14">
    <tableColumn id="1" xr3:uid="{2E82BE34-543F-48D7-AEF1-D35DEACF71B5}" name="NÚMERO CAVALETE" dataDxfId="139">
      <calculatedColumnFormula>LEFT(B71, FIND("-", B71)-1)</calculatedColumnFormula>
    </tableColumn>
    <tableColumn id="2" xr3:uid="{430FBFD7-7122-43FE-9C05-0FD33D13089C}" name="TIPO DE ROLO" dataDxfId="138">
      <calculatedColumnFormula>MID(B71, FIND("-", B71)+1, FIND("-", B71, FIND("-", B71)+1)-FIND("-", B71)-1)</calculatedColumnFormula>
    </tableColumn>
    <tableColumn id="3" xr3:uid="{7CE5488D-6293-4958-A527-073290304A28}" name="Coluna1" dataDxfId="137"/>
    <tableColumn id="4" xr3:uid="{E420B757-6A46-4E64-87BC-566F07D22265}" name="D" dataDxfId="136">
      <calculatedColumnFormula>IF(ISERROR(FIND("-D-", B71)), "", "X")</calculatedColumnFormula>
    </tableColumn>
    <tableColumn id="5" xr3:uid="{A62F1FD3-FC7E-41C3-8ED8-B0ACAA2DAAC1}" name="C" dataDxfId="135">
      <calculatedColumnFormula>IF(ISERROR(FIND("-C-", B71)), "", "X")</calculatedColumnFormula>
    </tableColumn>
    <tableColumn id="6" xr3:uid="{23F6B026-7C03-4169-BE4E-2142F29C1A95}" name="E" dataDxfId="134">
      <calculatedColumnFormula>IF(ISERROR(FIND("-E-", B71)), "", "X")</calculatedColumnFormula>
    </tableColumn>
    <tableColumn id="7" xr3:uid="{7D1EEDC9-D61D-4EC9-A1E5-B8896A524814}" name="Coluna2" dataDxfId="133"/>
    <tableColumn id="8" xr3:uid="{372CFA19-6599-477D-A9F4-D4C55EF65182}" name="P1" dataDxfId="132">
      <calculatedColumnFormula>IF(ISERROR(FIND("P1", A71)), "", "X")</calculatedColumnFormula>
    </tableColumn>
    <tableColumn id="9" xr3:uid="{B35E848E-95B6-41EB-BA39-C734D4EDCF9B}" name="P2" dataDxfId="131">
      <calculatedColumnFormula>IF(ISERROR(FIND("P2", A71)), "", "X")</calculatedColumnFormula>
    </tableColumn>
    <tableColumn id="10" xr3:uid="{89C1308B-166C-4095-9757-DF5A4C334173}" name="P3" dataDxfId="130">
      <calculatedColumnFormula>IF(ISERROR(FIND("P3", A71)), "", "X")</calculatedColumnFormula>
    </tableColumn>
    <tableColumn id="11" xr3:uid="{D60E854F-834C-4330-91D5-12DEE234EC1B}" name="DANO" dataDxfId="129">
      <calculatedColumnFormula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87147930-EF35-440D-A4C5-7412D1EB07A4}" name="Nº NOTA" dataDxfId="128"/>
    <tableColumn id="13" xr3:uid="{85538898-4430-4AB9-BD60-8DB6A4076324}" name="DATA INSPEÇÃO" dataDxfId="127"/>
    <tableColumn id="14" xr3:uid="{321B19B4-566A-485C-8E68-B8DF2D3BEF37}" name="FEEDBACK" dataDxfId="12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8A00F0F-F3E7-4FF9-A68A-39F91EF50A04}" name="Tabela625234" displayName="Tabela625234" ref="D4:Q14" totalsRowShown="0" headerRowDxfId="125" headerRowBorderDxfId="124" tableBorderDxfId="123" totalsRowBorderDxfId="122">
  <autoFilter ref="D4:Q14" xr:uid="{F8A00F0F-F3E7-4FF9-A68A-39F91EF50A04}"/>
  <tableColumns count="14">
    <tableColumn id="1" xr3:uid="{8B030600-887F-4447-8BF8-CF32F8FF60D1}" name="NÚMERO CAVALETE" dataDxfId="121">
      <calculatedColumnFormula>LEFT(B5, FIND("-", B5)-1)</calculatedColumnFormula>
    </tableColumn>
    <tableColumn id="2" xr3:uid="{52C95628-C4A4-4464-82CB-47CCAB635083}" name="TIPO DE ROLO" dataDxfId="120">
      <calculatedColumnFormula>MID(B5, FIND("-", B5)+1, FIND("-", B5, FIND("-", B5)+1)-FIND("-", B5)-1)</calculatedColumnFormula>
    </tableColumn>
    <tableColumn id="3" xr3:uid="{E8B6A61A-BD2F-4A17-93C9-4E2D3F15C7AD}" name="Coluna1" dataDxfId="119"/>
    <tableColumn id="4" xr3:uid="{9CB3FD91-E980-4DF1-A21B-D36C853766BA}" name="D" dataDxfId="118">
      <calculatedColumnFormula>IF(ISERROR(FIND("-D-", B5)), "", "X")</calculatedColumnFormula>
    </tableColumn>
    <tableColumn id="5" xr3:uid="{DE4EF3D3-4F21-45B6-9A73-6DCC1448B588}" name="C" dataDxfId="117">
      <calculatedColumnFormula>IF(ISERROR(FIND("-C-", B5)), "", "X")</calculatedColumnFormula>
    </tableColumn>
    <tableColumn id="6" xr3:uid="{F4748C06-385C-4002-9BCF-EA6B8B5C1C88}" name="E" dataDxfId="116">
      <calculatedColumnFormula>IF(ISERROR(FIND("-E-", B5)), "", "X")</calculatedColumnFormula>
    </tableColumn>
    <tableColumn id="7" xr3:uid="{1DCB0BB2-F301-4F5D-BD29-E8FDB99D01D7}" name="Coluna2" dataDxfId="115"/>
    <tableColumn id="8" xr3:uid="{7E32F730-6AEF-4FF5-896C-3059E6DCA65F}" name="P1" dataDxfId="114">
      <calculatedColumnFormula>IF(ISERROR(FIND("P1", A5)), "", "X")</calculatedColumnFormula>
    </tableColumn>
    <tableColumn id="9" xr3:uid="{BE395A13-096A-4260-BE28-647B211A9319}" name="P2" dataDxfId="113">
      <calculatedColumnFormula>IF(ISERROR(FIND("P2", A5)), "", "X")</calculatedColumnFormula>
    </tableColumn>
    <tableColumn id="10" xr3:uid="{C711DDAA-AEDC-4380-B040-46A88F703FBF}" name="P3" dataDxfId="112">
      <calculatedColumnFormula>IF(ISERROR(FIND("P3", A5)), "", "X")</calculatedColumnFormula>
    </tableColumn>
    <tableColumn id="11" xr3:uid="{3F57E03C-89BC-4932-8D55-9F5EB74CA59E}" name="DANO" dataDxfId="111">
      <calculatedColumnFormula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3636699A-AB68-49ED-AB77-2E7415C9ECB1}" name="Nº NOTA" dataDxfId="110"/>
    <tableColumn id="13" xr3:uid="{274C0EE7-3805-4046-9B32-285EEC1559EB}" name="DATA INSPEÇÃO" dataDxfId="109"/>
    <tableColumn id="14" xr3:uid="{A045CB36-00B2-4598-821D-6DB348C073FB}" name="FEEDBACK" dataDxfId="108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B145ADE-427B-4B88-AFE6-658E5FBEE2F9}" name="Tabela6252335" displayName="Tabela6252335" ref="D19:Q31" totalsRowShown="0" headerRowDxfId="107" headerRowBorderDxfId="106" tableBorderDxfId="105" totalsRowBorderDxfId="104">
  <autoFilter ref="D19:Q31" xr:uid="{4B145ADE-427B-4B88-AFE6-658E5FBEE2F9}"/>
  <tableColumns count="14">
    <tableColumn id="1" xr3:uid="{50BA1115-937A-49AA-BF83-4C5EA945F7A8}" name="NÚMERO CAVALETE" dataDxfId="103">
      <calculatedColumnFormula>LEFT(B20, FIND("-", B20)-1)</calculatedColumnFormula>
    </tableColumn>
    <tableColumn id="2" xr3:uid="{B9BC3C83-50D4-4563-A8B9-98CBB610F473}" name="TIPO DE ROLO" dataDxfId="102">
      <calculatedColumnFormula>MID(B20, FIND("-", B20)+1, FIND("-", B20, FIND("-", B20)+1)-FIND("-", B20)-1)</calculatedColumnFormula>
    </tableColumn>
    <tableColumn id="3" xr3:uid="{3300BF31-472C-44E0-9674-60CDC45393B4}" name="Coluna1" dataDxfId="101"/>
    <tableColumn id="4" xr3:uid="{349DDD11-4B8A-41B4-BAC9-BC6BFB075BF0}" name="D" dataDxfId="100">
      <calculatedColumnFormula>IF(ISERROR(FIND("-D-", B20)), "", "X")</calculatedColumnFormula>
    </tableColumn>
    <tableColumn id="5" xr3:uid="{BE1DBF3C-8AEA-4A45-8942-D0B5DDAF716B}" name="C" dataDxfId="99">
      <calculatedColumnFormula>IF(ISERROR(FIND("-C-", B20)), "", "X")</calculatedColumnFormula>
    </tableColumn>
    <tableColumn id="6" xr3:uid="{819B81EF-308D-46DE-A5B3-BF7D39A0B5B6}" name="E" dataDxfId="98">
      <calculatedColumnFormula>IF(ISERROR(FIND("-E-", B20)), "", "X")</calculatedColumnFormula>
    </tableColumn>
    <tableColumn id="7" xr3:uid="{72E47052-09B1-4B0D-A189-2C1E3C263A93}" name="Coluna2" dataDxfId="97"/>
    <tableColumn id="8" xr3:uid="{610ABED6-7569-4DD9-8C36-E598942E747D}" name="P1" dataDxfId="96">
      <calculatedColumnFormula>IF(ISERROR(FIND("P1", A20)), "", "X")</calculatedColumnFormula>
    </tableColumn>
    <tableColumn id="9" xr3:uid="{DCAB454A-882A-4116-A2B5-21C00CE137D0}" name="P2" dataDxfId="95">
      <calculatedColumnFormula>IF(ISERROR(FIND("P2", A20)), "", "X")</calculatedColumnFormula>
    </tableColumn>
    <tableColumn id="10" xr3:uid="{B9C80ED7-ED3B-45EC-81E7-9145F9DA92AE}" name="P3" dataDxfId="94">
      <calculatedColumnFormula>IF(ISERROR(FIND("P3", A20)), "", "X")</calculatedColumnFormula>
    </tableColumn>
    <tableColumn id="11" xr3:uid="{A399D227-90DB-41DC-9098-7F7F2975ABA9}" name="DANO" dataDxfId="93">
      <calculatedColumnFormula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86DC2AFE-1DCA-4AA9-83EE-1D23768F3DE0}" name="Nº NOTA" dataDxfId="92"/>
    <tableColumn id="13" xr3:uid="{B905816D-9AD8-443F-8173-3E871AB9A2BB}" name="DATA INSPEÇÃO" dataDxfId="91"/>
    <tableColumn id="14" xr3:uid="{5896E87A-C404-4214-A197-B52530448047}" name="FEEDBACK" dataDxfId="90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5D7DB42-E5D5-4BFB-BD15-93033550B1FA}" name="Tabela6252436" displayName="Tabela6252436" ref="D36:Q48" totalsRowShown="0" headerRowDxfId="89" headerRowBorderDxfId="88" tableBorderDxfId="87" totalsRowBorderDxfId="86">
  <autoFilter ref="D36:Q48" xr:uid="{75D7DB42-E5D5-4BFB-BD15-93033550B1FA}"/>
  <tableColumns count="14">
    <tableColumn id="1" xr3:uid="{0E301FE2-7C20-4024-9AD8-D245B4856015}" name="NÚMERO CAVALETE" dataDxfId="85">
      <calculatedColumnFormula>LEFT(B37, FIND("-", B37)-1)</calculatedColumnFormula>
    </tableColumn>
    <tableColumn id="2" xr3:uid="{96E2670D-9836-4472-BA38-3E35BC35B0B6}" name="TIPO DE ROLO" dataDxfId="84">
      <calculatedColumnFormula>MID(B37, FIND("-", B37)+1, FIND("-", B37, FIND("-", B37)+1)-FIND("-", B37)-1)</calculatedColumnFormula>
    </tableColumn>
    <tableColumn id="3" xr3:uid="{F22AECDF-8470-4BE4-AF7C-0D11CA68F5F8}" name="Coluna1" dataDxfId="83"/>
    <tableColumn id="4" xr3:uid="{69E2CB72-0D43-4950-85E3-AA10BD787676}" name="D" dataDxfId="82">
      <calculatedColumnFormula>IF(ISERROR(FIND("-D-", B37)), "", "X")</calculatedColumnFormula>
    </tableColumn>
    <tableColumn id="5" xr3:uid="{2DF2CD90-AE38-40D1-8962-110151286880}" name="C" dataDxfId="81">
      <calculatedColumnFormula>IF(ISERROR(FIND("-C-", B37)), "", "X")</calculatedColumnFormula>
    </tableColumn>
    <tableColumn id="6" xr3:uid="{C85A1626-6BE0-4E26-9AA9-9A122B703008}" name="E" dataDxfId="80">
      <calculatedColumnFormula>IF(ISERROR(FIND("-E-", B37)), "", "X")</calculatedColumnFormula>
    </tableColumn>
    <tableColumn id="7" xr3:uid="{624A76D3-4955-4BD9-9491-34461BC2F8AF}" name="Coluna2" dataDxfId="79"/>
    <tableColumn id="8" xr3:uid="{CCF34FBA-3E9C-40B8-B35E-F6183093BB32}" name="P1" dataDxfId="78">
      <calculatedColumnFormula>IF(ISERROR(FIND("P1", A37)), "", "X")</calculatedColumnFormula>
    </tableColumn>
    <tableColumn id="9" xr3:uid="{96CB6B79-6FE6-456E-A9D2-37C101C76862}" name="P2" dataDxfId="77">
      <calculatedColumnFormula>IF(ISERROR(FIND("P2", A37)), "", "X")</calculatedColumnFormula>
    </tableColumn>
    <tableColumn id="10" xr3:uid="{85570D85-16F2-49A7-95F8-DFA7D856E89A}" name="P3" dataDxfId="76">
      <calculatedColumnFormula>IF(ISERROR(FIND("P3", A37)), "", "X")</calculatedColumnFormula>
    </tableColumn>
    <tableColumn id="11" xr3:uid="{A986D2FD-D63C-498F-9DEC-4C1A5FA13A17}" name="DANO" dataDxfId="75">
      <calculatedColumnFormula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calculatedColumnFormula>
    </tableColumn>
    <tableColumn id="12" xr3:uid="{A60B47B3-BCA3-4FC5-B804-56A71C91309F}" name="Nº NOTA" dataDxfId="74"/>
    <tableColumn id="13" xr3:uid="{03CB3701-C080-4831-8133-3F8EC688B21A}" name="DATA INSPEÇÃO" dataDxfId="73"/>
    <tableColumn id="14" xr3:uid="{B522E7D5-B897-4340-BEFB-D4F60620DFF0}" name="FEEDBACK" dataDxfId="7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2549-5239-48DD-BCD2-7CAC5900BD03}">
  <dimension ref="A2:Q149"/>
  <sheetViews>
    <sheetView topLeftCell="A119" zoomScale="55" zoomScaleNormal="55" workbookViewId="0">
      <selection activeCell="D137" sqref="D137"/>
    </sheetView>
  </sheetViews>
  <sheetFormatPr defaultRowHeight="15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20</v>
      </c>
      <c r="D5" s="22" t="e">
        <f t="shared" ref="D5:D14" si="0">LEFT(B5, FIND("-", B5)-1)</f>
        <v>#VALUE!</v>
      </c>
      <c r="E5" s="23" t="e">
        <f t="shared" ref="E5:E14" si="1">MID(B5, FIND("-", B5)+1, FIND("-", B5, FIND("-", B5)+1)-FIND("-", B5)-1)</f>
        <v>#VALUE!</v>
      </c>
      <c r="F5" s="23"/>
      <c r="G5" s="23" t="str">
        <f t="shared" ref="G5:G14" si="2">IF(ISERROR(FIND("-D-", B5)), "", "X")</f>
        <v/>
      </c>
      <c r="H5" s="23" t="str">
        <f t="shared" ref="H5:H14" si="3">IF(ISERROR(FIND("-C-", B5)), "", "X")</f>
        <v/>
      </c>
      <c r="I5" s="23" t="str">
        <f t="shared" ref="I5:I14" si="4">IF(ISERROR(FIND("-E-", B5)), "", "X")</f>
        <v/>
      </c>
      <c r="J5" s="23"/>
      <c r="K5" s="23" t="str">
        <f t="shared" ref="K5:K14" si="5">IF(ISERROR(FIND("P1", A5)), "", "X")</f>
        <v/>
      </c>
      <c r="L5" s="23" t="str">
        <f t="shared" ref="L5:L14" si="6">IF(ISERROR(FIND("P2", A5)), "", "X")</f>
        <v/>
      </c>
      <c r="M5" s="23" t="str">
        <f t="shared" ref="M5:M14" si="7">IF(ISERROR(FIND("P3", A5)), "", "X")</f>
        <v/>
      </c>
      <c r="N5" s="24" t="str">
        <f t="shared" ref="N5:N14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si="0"/>
        <v>#VALUE!</v>
      </c>
      <c r="E7" s="23" t="e">
        <f t="shared" si="1"/>
        <v>#VALUE!</v>
      </c>
      <c r="F7" s="23"/>
      <c r="G7" s="23" t="str">
        <f t="shared" si="2"/>
        <v/>
      </c>
      <c r="H7" s="23" t="str">
        <f t="shared" si="3"/>
        <v/>
      </c>
      <c r="I7" s="23" t="str">
        <f t="shared" si="4"/>
        <v/>
      </c>
      <c r="J7" s="23"/>
      <c r="K7" s="23" t="str">
        <f t="shared" si="5"/>
        <v/>
      </c>
      <c r="L7" s="23" t="str">
        <f t="shared" si="6"/>
        <v/>
      </c>
      <c r="M7" s="23" t="str">
        <f t="shared" si="7"/>
        <v/>
      </c>
      <c r="N7" s="24" t="str">
        <f t="shared" si="8"/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si="0"/>
        <v>#VALUE!</v>
      </c>
      <c r="E8" s="23" t="e">
        <f t="shared" si="1"/>
        <v>#VALUE!</v>
      </c>
      <c r="F8" s="23"/>
      <c r="G8" s="23" t="str">
        <f t="shared" si="2"/>
        <v/>
      </c>
      <c r="H8" s="23" t="str">
        <f t="shared" si="3"/>
        <v/>
      </c>
      <c r="I8" s="23" t="str">
        <f t="shared" si="4"/>
        <v/>
      </c>
      <c r="J8" s="23"/>
      <c r="K8" s="23" t="str">
        <f t="shared" si="5"/>
        <v/>
      </c>
      <c r="L8" s="23" t="str">
        <f t="shared" si="6"/>
        <v/>
      </c>
      <c r="M8" s="23" t="str">
        <f t="shared" si="7"/>
        <v/>
      </c>
      <c r="N8" s="24" t="str">
        <f t="shared" si="8"/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0"/>
        <v>#VALUE!</v>
      </c>
      <c r="E9" s="23" t="e">
        <f t="shared" si="1"/>
        <v>#VALUE!</v>
      </c>
      <c r="F9" s="23"/>
      <c r="G9" s="23" t="str">
        <f t="shared" si="2"/>
        <v/>
      </c>
      <c r="H9" s="23" t="str">
        <f t="shared" si="3"/>
        <v/>
      </c>
      <c r="I9" s="23" t="str">
        <f t="shared" si="4"/>
        <v/>
      </c>
      <c r="J9" s="23"/>
      <c r="K9" s="23" t="str">
        <f t="shared" si="5"/>
        <v/>
      </c>
      <c r="L9" s="23" t="str">
        <f t="shared" si="6"/>
        <v/>
      </c>
      <c r="M9" s="23" t="str">
        <f t="shared" si="7"/>
        <v/>
      </c>
      <c r="N9" s="24" t="str">
        <f t="shared" si="8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0"/>
        <v>#VALUE!</v>
      </c>
      <c r="E10" s="23" t="e">
        <f t="shared" si="1"/>
        <v>#VALUE!</v>
      </c>
      <c r="F10" s="23"/>
      <c r="G10" s="23" t="str">
        <f t="shared" si="2"/>
        <v/>
      </c>
      <c r="H10" s="23" t="str">
        <f t="shared" si="3"/>
        <v/>
      </c>
      <c r="I10" s="23" t="str">
        <f t="shared" si="4"/>
        <v/>
      </c>
      <c r="J10" s="23"/>
      <c r="K10" s="23" t="str">
        <f t="shared" si="5"/>
        <v/>
      </c>
      <c r="L10" s="23" t="str">
        <f t="shared" si="6"/>
        <v/>
      </c>
      <c r="M10" s="23" t="str">
        <f t="shared" si="7"/>
        <v/>
      </c>
      <c r="N10" s="24" t="str">
        <f t="shared" si="8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si="0"/>
        <v>#VALUE!</v>
      </c>
      <c r="E11" s="6" t="e">
        <f t="shared" si="1"/>
        <v>#VALUE!</v>
      </c>
      <c r="F11" s="6"/>
      <c r="G11" s="6" t="str">
        <f t="shared" si="2"/>
        <v/>
      </c>
      <c r="H11" s="6" t="str">
        <f t="shared" si="3"/>
        <v/>
      </c>
      <c r="I11" s="6" t="str">
        <f t="shared" si="4"/>
        <v/>
      </c>
      <c r="J11" s="6"/>
      <c r="K11" s="6" t="str">
        <f t="shared" si="5"/>
        <v/>
      </c>
      <c r="L11" s="6" t="str">
        <f t="shared" si="6"/>
        <v/>
      </c>
      <c r="M11" s="6" t="str">
        <f t="shared" si="7"/>
        <v/>
      </c>
      <c r="N11" s="3" t="str">
        <f t="shared" si="8"/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0"/>
        <v>#VALUE!</v>
      </c>
      <c r="E12" s="6" t="e">
        <f t="shared" si="1"/>
        <v>#VALUE!</v>
      </c>
      <c r="F12" s="6"/>
      <c r="G12" s="6" t="str">
        <f t="shared" si="2"/>
        <v/>
      </c>
      <c r="H12" s="6" t="str">
        <f t="shared" si="3"/>
        <v/>
      </c>
      <c r="I12" s="6" t="str">
        <f t="shared" si="4"/>
        <v/>
      </c>
      <c r="J12" s="6"/>
      <c r="K12" s="6" t="str">
        <f t="shared" si="5"/>
        <v/>
      </c>
      <c r="L12" s="6" t="str">
        <f t="shared" si="6"/>
        <v/>
      </c>
      <c r="M12" s="6" t="str">
        <f t="shared" si="7"/>
        <v/>
      </c>
      <c r="N12" s="3" t="str">
        <f t="shared" si="8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0"/>
        <v>#VALUE!</v>
      </c>
      <c r="E13" s="6" t="e">
        <f t="shared" si="1"/>
        <v>#VALUE!</v>
      </c>
      <c r="F13" s="6"/>
      <c r="G13" s="6" t="str">
        <f t="shared" si="2"/>
        <v/>
      </c>
      <c r="H13" s="6" t="str">
        <f t="shared" si="3"/>
        <v/>
      </c>
      <c r="I13" s="6" t="str">
        <f t="shared" si="4"/>
        <v/>
      </c>
      <c r="J13" s="6"/>
      <c r="K13" s="6" t="str">
        <f t="shared" si="5"/>
        <v/>
      </c>
      <c r="L13" s="6" t="str">
        <f t="shared" si="6"/>
        <v/>
      </c>
      <c r="M13" s="6" t="str">
        <f t="shared" si="7"/>
        <v/>
      </c>
      <c r="N13" s="3" t="str">
        <f t="shared" si="8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0"/>
        <v>#VALUE!</v>
      </c>
      <c r="E14" s="6" t="e">
        <f t="shared" si="1"/>
        <v>#VALUE!</v>
      </c>
      <c r="F14" s="6"/>
      <c r="G14" s="6" t="str">
        <f t="shared" si="2"/>
        <v/>
      </c>
      <c r="H14" s="6" t="str">
        <f t="shared" si="3"/>
        <v/>
      </c>
      <c r="I14" s="6" t="str">
        <f t="shared" si="4"/>
        <v/>
      </c>
      <c r="J14" s="6"/>
      <c r="K14" s="6" t="str">
        <f t="shared" si="5"/>
        <v/>
      </c>
      <c r="L14" s="6" t="str">
        <f t="shared" si="6"/>
        <v/>
      </c>
      <c r="M14" s="6" t="str">
        <f t="shared" si="7"/>
        <v/>
      </c>
      <c r="N14" s="3" t="str">
        <f t="shared" si="8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ht="20.100000000000001" customHeight="1" x14ac:dyDescent="0.25"/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21</v>
      </c>
      <c r="D20" s="17" t="e">
        <f t="shared" ref="D20:D31" si="9">LEFT(B20, FIND("-", B20)-1)</f>
        <v>#VALUE!</v>
      </c>
      <c r="E20" s="18" t="e">
        <f t="shared" ref="E20:E31" si="10">MID(B20, FIND("-", B20)+1, FIND("-", B20, FIND("-", B20)+1)-FIND("-", B20)-1)</f>
        <v>#VALUE!</v>
      </c>
      <c r="F20" s="18"/>
      <c r="G20" s="18" t="str">
        <f t="shared" ref="G20:G31" si="11">IF(ISERROR(FIND("-D-", B20)), "", "X")</f>
        <v/>
      </c>
      <c r="H20" s="18" t="str">
        <f t="shared" ref="H20:H31" si="12">IF(ISERROR(FIND("-C-", B20)), "", "X")</f>
        <v/>
      </c>
      <c r="I20" s="18" t="str">
        <f t="shared" ref="I20:I31" si="13">IF(ISERROR(FIND("-E-", B20)), "", "X")</f>
        <v/>
      </c>
      <c r="J20" s="18"/>
      <c r="K20" s="18" t="str">
        <f t="shared" ref="K20:K31" si="14">IF(ISERROR(FIND("P1", A20)), "", "X")</f>
        <v/>
      </c>
      <c r="L20" s="18" t="str">
        <f t="shared" ref="L20:L31" si="15">IF(ISERROR(FIND("P2", A20)), "", "X")</f>
        <v/>
      </c>
      <c r="M20" s="18" t="str">
        <f t="shared" ref="M20:M31" si="16">IF(ISERROR(FIND("P3", A20)), "", "X")</f>
        <v/>
      </c>
      <c r="N20" s="3" t="str">
        <f t="shared" ref="N20:N31" si="17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9"/>
        <v>#VALUE!</v>
      </c>
      <c r="E21" s="23" t="e">
        <f t="shared" si="10"/>
        <v>#VALUE!</v>
      </c>
      <c r="F21" s="23"/>
      <c r="G21" s="23" t="str">
        <f t="shared" si="11"/>
        <v/>
      </c>
      <c r="H21" s="23" t="str">
        <f t="shared" si="12"/>
        <v/>
      </c>
      <c r="I21" s="23" t="str">
        <f t="shared" si="13"/>
        <v/>
      </c>
      <c r="J21" s="23"/>
      <c r="K21" s="23" t="str">
        <f t="shared" si="14"/>
        <v/>
      </c>
      <c r="L21" s="23" t="str">
        <f t="shared" si="15"/>
        <v/>
      </c>
      <c r="M21" s="23" t="str">
        <f t="shared" si="16"/>
        <v/>
      </c>
      <c r="N21" s="24" t="str">
        <f t="shared" si="17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9"/>
        <v>#VALUE!</v>
      </c>
      <c r="E22" s="23" t="e">
        <f t="shared" si="10"/>
        <v>#VALUE!</v>
      </c>
      <c r="F22" s="23"/>
      <c r="G22" s="23" t="str">
        <f t="shared" si="11"/>
        <v/>
      </c>
      <c r="H22" s="23" t="str">
        <f t="shared" si="12"/>
        <v/>
      </c>
      <c r="I22" s="23" t="str">
        <f t="shared" si="13"/>
        <v/>
      </c>
      <c r="J22" s="23"/>
      <c r="K22" s="23" t="str">
        <f t="shared" si="14"/>
        <v/>
      </c>
      <c r="L22" s="23" t="str">
        <f t="shared" si="15"/>
        <v/>
      </c>
      <c r="M22" s="23" t="str">
        <f t="shared" si="16"/>
        <v/>
      </c>
      <c r="N22" s="24" t="str">
        <f t="shared" si="17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9"/>
        <v>#VALUE!</v>
      </c>
      <c r="E23" s="23" t="e">
        <f t="shared" si="10"/>
        <v>#VALUE!</v>
      </c>
      <c r="F23" s="23"/>
      <c r="G23" s="23" t="str">
        <f t="shared" si="11"/>
        <v/>
      </c>
      <c r="H23" s="23" t="str">
        <f t="shared" si="12"/>
        <v/>
      </c>
      <c r="I23" s="23" t="str">
        <f t="shared" si="13"/>
        <v/>
      </c>
      <c r="J23" s="23"/>
      <c r="K23" s="23" t="str">
        <f t="shared" si="14"/>
        <v/>
      </c>
      <c r="L23" s="23" t="str">
        <f t="shared" si="15"/>
        <v/>
      </c>
      <c r="M23" s="23" t="str">
        <f t="shared" si="16"/>
        <v/>
      </c>
      <c r="N23" s="24" t="str">
        <f t="shared" si="17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9"/>
        <v>#VALUE!</v>
      </c>
      <c r="E24" s="23" t="e">
        <f t="shared" si="10"/>
        <v>#VALUE!</v>
      </c>
      <c r="F24" s="23"/>
      <c r="G24" s="23" t="str">
        <f t="shared" si="11"/>
        <v/>
      </c>
      <c r="H24" s="23" t="str">
        <f t="shared" si="12"/>
        <v/>
      </c>
      <c r="I24" s="23" t="str">
        <f t="shared" si="13"/>
        <v/>
      </c>
      <c r="J24" s="23"/>
      <c r="K24" s="23" t="str">
        <f t="shared" si="14"/>
        <v/>
      </c>
      <c r="L24" s="23" t="str">
        <f t="shared" si="15"/>
        <v/>
      </c>
      <c r="M24" s="23" t="str">
        <f t="shared" si="16"/>
        <v/>
      </c>
      <c r="N24" s="24" t="str">
        <f t="shared" si="17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9"/>
        <v>#VALUE!</v>
      </c>
      <c r="E25" s="23" t="e">
        <f t="shared" si="10"/>
        <v>#VALUE!</v>
      </c>
      <c r="F25" s="23"/>
      <c r="G25" s="23" t="str">
        <f t="shared" si="11"/>
        <v/>
      </c>
      <c r="H25" s="23" t="str">
        <f t="shared" si="12"/>
        <v/>
      </c>
      <c r="I25" s="23" t="str">
        <f t="shared" si="13"/>
        <v/>
      </c>
      <c r="J25" s="23"/>
      <c r="K25" s="23" t="str">
        <f t="shared" si="14"/>
        <v/>
      </c>
      <c r="L25" s="23" t="str">
        <f t="shared" si="15"/>
        <v/>
      </c>
      <c r="M25" s="23" t="str">
        <f t="shared" si="16"/>
        <v/>
      </c>
      <c r="N25" s="24" t="str">
        <f t="shared" si="17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9"/>
        <v>#VALUE!</v>
      </c>
      <c r="E26" s="23" t="e">
        <f t="shared" si="10"/>
        <v>#VALUE!</v>
      </c>
      <c r="F26" s="23"/>
      <c r="G26" s="23" t="str">
        <f t="shared" si="11"/>
        <v/>
      </c>
      <c r="H26" s="23" t="str">
        <f t="shared" si="12"/>
        <v/>
      </c>
      <c r="I26" s="23" t="str">
        <f t="shared" si="13"/>
        <v/>
      </c>
      <c r="J26" s="23"/>
      <c r="K26" s="23" t="str">
        <f t="shared" si="14"/>
        <v/>
      </c>
      <c r="L26" s="23" t="str">
        <f t="shared" si="15"/>
        <v/>
      </c>
      <c r="M26" s="23" t="str">
        <f t="shared" si="16"/>
        <v/>
      </c>
      <c r="N26" s="24" t="str">
        <f t="shared" si="17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9"/>
        <v>#VALUE!</v>
      </c>
      <c r="E27" s="23" t="e">
        <f t="shared" si="10"/>
        <v>#VALUE!</v>
      </c>
      <c r="F27" s="23"/>
      <c r="G27" s="23" t="str">
        <f t="shared" si="11"/>
        <v/>
      </c>
      <c r="H27" s="23" t="str">
        <f t="shared" si="12"/>
        <v/>
      </c>
      <c r="I27" s="23" t="str">
        <f t="shared" si="13"/>
        <v/>
      </c>
      <c r="J27" s="23"/>
      <c r="K27" s="23" t="str">
        <f t="shared" si="14"/>
        <v/>
      </c>
      <c r="L27" s="23" t="str">
        <f t="shared" si="15"/>
        <v/>
      </c>
      <c r="M27" s="23" t="str">
        <f t="shared" si="16"/>
        <v/>
      </c>
      <c r="N27" s="24" t="str">
        <f t="shared" si="17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9"/>
        <v>#VALUE!</v>
      </c>
      <c r="E28" s="6" t="e">
        <f t="shared" si="10"/>
        <v>#VALUE!</v>
      </c>
      <c r="F28" s="6"/>
      <c r="G28" s="6" t="str">
        <f t="shared" si="11"/>
        <v/>
      </c>
      <c r="H28" s="6" t="str">
        <f t="shared" si="12"/>
        <v/>
      </c>
      <c r="I28" s="6" t="str">
        <f t="shared" si="13"/>
        <v/>
      </c>
      <c r="J28" s="6"/>
      <c r="K28" s="6" t="str">
        <f t="shared" si="14"/>
        <v/>
      </c>
      <c r="L28" s="6" t="str">
        <f t="shared" si="15"/>
        <v/>
      </c>
      <c r="M28" s="6" t="str">
        <f t="shared" si="16"/>
        <v/>
      </c>
      <c r="N28" s="3" t="str">
        <f t="shared" si="17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9"/>
        <v>#VALUE!</v>
      </c>
      <c r="E29" s="6" t="e">
        <f t="shared" si="10"/>
        <v>#VALUE!</v>
      </c>
      <c r="F29" s="6"/>
      <c r="G29" s="6" t="str">
        <f t="shared" si="11"/>
        <v/>
      </c>
      <c r="H29" s="6" t="str">
        <f t="shared" si="12"/>
        <v/>
      </c>
      <c r="I29" s="6" t="str">
        <f t="shared" si="13"/>
        <v/>
      </c>
      <c r="J29" s="6"/>
      <c r="K29" s="6" t="str">
        <f t="shared" si="14"/>
        <v/>
      </c>
      <c r="L29" s="6" t="str">
        <f t="shared" si="15"/>
        <v/>
      </c>
      <c r="M29" s="6" t="str">
        <f t="shared" si="16"/>
        <v/>
      </c>
      <c r="N29" s="3" t="str">
        <f t="shared" si="17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9"/>
        <v>#VALUE!</v>
      </c>
      <c r="E30" s="6" t="e">
        <f t="shared" si="10"/>
        <v>#VALUE!</v>
      </c>
      <c r="F30" s="6"/>
      <c r="G30" s="6" t="str">
        <f t="shared" si="11"/>
        <v/>
      </c>
      <c r="H30" s="6" t="str">
        <f t="shared" si="12"/>
        <v/>
      </c>
      <c r="I30" s="6" t="str">
        <f t="shared" si="13"/>
        <v/>
      </c>
      <c r="J30" s="6"/>
      <c r="K30" s="6" t="str">
        <f t="shared" si="14"/>
        <v/>
      </c>
      <c r="L30" s="6" t="str">
        <f t="shared" si="15"/>
        <v/>
      </c>
      <c r="M30" s="6" t="str">
        <f t="shared" si="16"/>
        <v/>
      </c>
      <c r="N30" s="3" t="str">
        <f t="shared" si="17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9"/>
        <v>#VALUE!</v>
      </c>
      <c r="E31" s="6" t="e">
        <f t="shared" si="10"/>
        <v>#VALUE!</v>
      </c>
      <c r="F31" s="6"/>
      <c r="G31" s="6" t="str">
        <f t="shared" si="11"/>
        <v/>
      </c>
      <c r="H31" s="6" t="str">
        <f t="shared" si="12"/>
        <v/>
      </c>
      <c r="I31" s="6" t="str">
        <f t="shared" si="13"/>
        <v/>
      </c>
      <c r="J31" s="6"/>
      <c r="K31" s="6" t="str">
        <f t="shared" si="14"/>
        <v/>
      </c>
      <c r="L31" s="6" t="str">
        <f t="shared" si="15"/>
        <v/>
      </c>
      <c r="M31" s="6" t="str">
        <f t="shared" si="16"/>
        <v/>
      </c>
      <c r="N31" s="3" t="str">
        <f t="shared" si="17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22</v>
      </c>
      <c r="D37" s="17" t="e">
        <f t="shared" ref="D37:D48" si="18">LEFT(B37, FIND("-", B37)-1)</f>
        <v>#VALUE!</v>
      </c>
      <c r="E37" s="18" t="e">
        <f t="shared" ref="E37:E48" si="19">MID(B37, FIND("-", B37)+1, FIND("-", B37, FIND("-", B37)+1)-FIND("-", B37)-1)</f>
        <v>#VALUE!</v>
      </c>
      <c r="F37" s="18"/>
      <c r="G37" s="18" t="str">
        <f t="shared" ref="G37:G48" si="20">IF(ISERROR(FIND("-D-", B37)), "", "X")</f>
        <v/>
      </c>
      <c r="H37" s="18" t="str">
        <f t="shared" ref="H37:H48" si="21">IF(ISERROR(FIND("-C-", B37)), "", "X")</f>
        <v/>
      </c>
      <c r="I37" s="18" t="str">
        <f t="shared" ref="I37:I48" si="22">IF(ISERROR(FIND("-E-", B37)), "", "X")</f>
        <v/>
      </c>
      <c r="J37" s="18"/>
      <c r="K37" s="18" t="str">
        <f t="shared" ref="K37:K48" si="23">IF(ISERROR(FIND("P1", A37)), "", "X")</f>
        <v/>
      </c>
      <c r="L37" s="18" t="str">
        <f t="shared" ref="L37:L48" si="24">IF(ISERROR(FIND("P2", A37)), "", "X")</f>
        <v/>
      </c>
      <c r="M37" s="18" t="str">
        <f t="shared" ref="M37:M48" si="25">IF(ISERROR(FIND("P3", A37)), "", "X")</f>
        <v/>
      </c>
      <c r="N37" s="3" t="str">
        <f t="shared" ref="N37:N48" si="26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18"/>
        <v>#VALUE!</v>
      </c>
      <c r="E38" s="23" t="e">
        <f t="shared" si="19"/>
        <v>#VALUE!</v>
      </c>
      <c r="F38" s="23"/>
      <c r="G38" s="23" t="str">
        <f t="shared" si="20"/>
        <v/>
      </c>
      <c r="H38" s="23" t="str">
        <f t="shared" si="21"/>
        <v/>
      </c>
      <c r="I38" s="23" t="str">
        <f t="shared" si="22"/>
        <v/>
      </c>
      <c r="J38" s="23"/>
      <c r="K38" s="23" t="str">
        <f t="shared" si="23"/>
        <v/>
      </c>
      <c r="L38" s="23" t="str">
        <f t="shared" si="24"/>
        <v/>
      </c>
      <c r="M38" s="23" t="str">
        <f t="shared" si="25"/>
        <v/>
      </c>
      <c r="N38" s="24" t="str">
        <f t="shared" si="26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18"/>
        <v>#VALUE!</v>
      </c>
      <c r="E39" s="23" t="e">
        <f t="shared" si="19"/>
        <v>#VALUE!</v>
      </c>
      <c r="F39" s="23"/>
      <c r="G39" s="23" t="str">
        <f t="shared" si="20"/>
        <v/>
      </c>
      <c r="H39" s="23" t="str">
        <f t="shared" si="21"/>
        <v/>
      </c>
      <c r="I39" s="23" t="str">
        <f t="shared" si="22"/>
        <v/>
      </c>
      <c r="J39" s="23"/>
      <c r="K39" s="23" t="str">
        <f t="shared" si="23"/>
        <v/>
      </c>
      <c r="L39" s="23" t="str">
        <f t="shared" si="24"/>
        <v/>
      </c>
      <c r="M39" s="23" t="str">
        <f t="shared" si="25"/>
        <v/>
      </c>
      <c r="N39" s="24" t="str">
        <f t="shared" si="26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18"/>
        <v>#VALUE!</v>
      </c>
      <c r="E40" s="23" t="e">
        <f t="shared" si="19"/>
        <v>#VALUE!</v>
      </c>
      <c r="F40" s="23"/>
      <c r="G40" s="23" t="str">
        <f t="shared" si="20"/>
        <v/>
      </c>
      <c r="H40" s="23" t="str">
        <f t="shared" si="21"/>
        <v/>
      </c>
      <c r="I40" s="23" t="str">
        <f t="shared" si="22"/>
        <v/>
      </c>
      <c r="J40" s="23"/>
      <c r="K40" s="23" t="str">
        <f t="shared" si="23"/>
        <v/>
      </c>
      <c r="L40" s="23" t="str">
        <f t="shared" si="24"/>
        <v/>
      </c>
      <c r="M40" s="23" t="str">
        <f t="shared" si="25"/>
        <v/>
      </c>
      <c r="N40" s="24" t="str">
        <f t="shared" si="26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18"/>
        <v>#VALUE!</v>
      </c>
      <c r="E41" s="23" t="e">
        <f t="shared" si="19"/>
        <v>#VALUE!</v>
      </c>
      <c r="F41" s="23"/>
      <c r="G41" s="23" t="str">
        <f t="shared" si="20"/>
        <v/>
      </c>
      <c r="H41" s="23" t="str">
        <f t="shared" si="21"/>
        <v/>
      </c>
      <c r="I41" s="23" t="str">
        <f t="shared" si="22"/>
        <v/>
      </c>
      <c r="J41" s="23"/>
      <c r="K41" s="23" t="str">
        <f t="shared" si="23"/>
        <v/>
      </c>
      <c r="L41" s="23" t="str">
        <f t="shared" si="24"/>
        <v/>
      </c>
      <c r="M41" s="23" t="str">
        <f t="shared" si="25"/>
        <v/>
      </c>
      <c r="N41" s="24" t="str">
        <f t="shared" si="26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18"/>
        <v>#VALUE!</v>
      </c>
      <c r="E42" s="23" t="e">
        <f t="shared" si="19"/>
        <v>#VALUE!</v>
      </c>
      <c r="F42" s="23"/>
      <c r="G42" s="23" t="str">
        <f t="shared" si="20"/>
        <v/>
      </c>
      <c r="H42" s="23" t="str">
        <f t="shared" si="21"/>
        <v/>
      </c>
      <c r="I42" s="23" t="str">
        <f t="shared" si="22"/>
        <v/>
      </c>
      <c r="J42" s="23"/>
      <c r="K42" s="23" t="str">
        <f t="shared" si="23"/>
        <v/>
      </c>
      <c r="L42" s="23" t="str">
        <f t="shared" si="24"/>
        <v/>
      </c>
      <c r="M42" s="23" t="str">
        <f t="shared" si="25"/>
        <v/>
      </c>
      <c r="N42" s="24" t="str">
        <f t="shared" si="26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18"/>
        <v>#VALUE!</v>
      </c>
      <c r="E43" s="23" t="e">
        <f t="shared" si="19"/>
        <v>#VALUE!</v>
      </c>
      <c r="F43" s="23"/>
      <c r="G43" s="23" t="str">
        <f t="shared" si="20"/>
        <v/>
      </c>
      <c r="H43" s="23" t="str">
        <f t="shared" si="21"/>
        <v/>
      </c>
      <c r="I43" s="23" t="str">
        <f t="shared" si="22"/>
        <v/>
      </c>
      <c r="J43" s="23"/>
      <c r="K43" s="23" t="str">
        <f t="shared" si="23"/>
        <v/>
      </c>
      <c r="L43" s="23" t="str">
        <f t="shared" si="24"/>
        <v/>
      </c>
      <c r="M43" s="23" t="str">
        <f t="shared" si="25"/>
        <v/>
      </c>
      <c r="N43" s="24" t="str">
        <f t="shared" si="26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18"/>
        <v>#VALUE!</v>
      </c>
      <c r="E44" s="23" t="e">
        <f t="shared" si="19"/>
        <v>#VALUE!</v>
      </c>
      <c r="F44" s="23"/>
      <c r="G44" s="23" t="str">
        <f t="shared" si="20"/>
        <v/>
      </c>
      <c r="H44" s="23" t="str">
        <f t="shared" si="21"/>
        <v/>
      </c>
      <c r="I44" s="23" t="str">
        <f t="shared" si="22"/>
        <v/>
      </c>
      <c r="J44" s="23"/>
      <c r="K44" s="23" t="str">
        <f t="shared" si="23"/>
        <v/>
      </c>
      <c r="L44" s="23" t="str">
        <f t="shared" si="24"/>
        <v/>
      </c>
      <c r="M44" s="23" t="str">
        <f t="shared" si="25"/>
        <v/>
      </c>
      <c r="N44" s="24" t="str">
        <f t="shared" si="26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18"/>
        <v>#VALUE!</v>
      </c>
      <c r="E45" s="6" t="e">
        <f t="shared" si="19"/>
        <v>#VALUE!</v>
      </c>
      <c r="F45" s="6"/>
      <c r="G45" s="6" t="str">
        <f t="shared" si="20"/>
        <v/>
      </c>
      <c r="H45" s="6" t="str">
        <f t="shared" si="21"/>
        <v/>
      </c>
      <c r="I45" s="6" t="str">
        <f t="shared" si="22"/>
        <v/>
      </c>
      <c r="J45" s="6"/>
      <c r="K45" s="6" t="str">
        <f t="shared" si="23"/>
        <v/>
      </c>
      <c r="L45" s="6" t="str">
        <f t="shared" si="24"/>
        <v/>
      </c>
      <c r="M45" s="6" t="str">
        <f t="shared" si="25"/>
        <v/>
      </c>
      <c r="N45" s="3" t="str">
        <f t="shared" si="26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18"/>
        <v>#VALUE!</v>
      </c>
      <c r="E46" s="6" t="e">
        <f t="shared" si="19"/>
        <v>#VALUE!</v>
      </c>
      <c r="F46" s="6"/>
      <c r="G46" s="6" t="str">
        <f t="shared" si="20"/>
        <v/>
      </c>
      <c r="H46" s="6" t="str">
        <f t="shared" si="21"/>
        <v/>
      </c>
      <c r="I46" s="6" t="str">
        <f t="shared" si="22"/>
        <v/>
      </c>
      <c r="J46" s="6"/>
      <c r="K46" s="6" t="str">
        <f t="shared" si="23"/>
        <v/>
      </c>
      <c r="L46" s="6" t="str">
        <f t="shared" si="24"/>
        <v/>
      </c>
      <c r="M46" s="6" t="str">
        <f t="shared" si="25"/>
        <v/>
      </c>
      <c r="N46" s="3" t="str">
        <f t="shared" si="26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18"/>
        <v>#VALUE!</v>
      </c>
      <c r="E47" s="6" t="e">
        <f t="shared" si="19"/>
        <v>#VALUE!</v>
      </c>
      <c r="F47" s="6"/>
      <c r="G47" s="6" t="str">
        <f t="shared" si="20"/>
        <v/>
      </c>
      <c r="H47" s="6" t="str">
        <f t="shared" si="21"/>
        <v/>
      </c>
      <c r="I47" s="6" t="str">
        <f t="shared" si="22"/>
        <v/>
      </c>
      <c r="J47" s="6"/>
      <c r="K47" s="6" t="str">
        <f t="shared" si="23"/>
        <v/>
      </c>
      <c r="L47" s="6" t="str">
        <f t="shared" si="24"/>
        <v/>
      </c>
      <c r="M47" s="6" t="str">
        <f t="shared" si="25"/>
        <v/>
      </c>
      <c r="N47" s="3" t="str">
        <f t="shared" si="26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18"/>
        <v>#VALUE!</v>
      </c>
      <c r="E48" s="6" t="e">
        <f t="shared" si="19"/>
        <v>#VALUE!</v>
      </c>
      <c r="F48" s="6"/>
      <c r="G48" s="6" t="str">
        <f t="shared" si="20"/>
        <v/>
      </c>
      <c r="H48" s="6" t="str">
        <f t="shared" si="21"/>
        <v/>
      </c>
      <c r="I48" s="6" t="str">
        <f t="shared" si="22"/>
        <v/>
      </c>
      <c r="J48" s="6"/>
      <c r="K48" s="6" t="str">
        <f t="shared" si="23"/>
        <v/>
      </c>
      <c r="L48" s="6" t="str">
        <f t="shared" si="24"/>
        <v/>
      </c>
      <c r="M48" s="6" t="str">
        <f t="shared" si="25"/>
        <v/>
      </c>
      <c r="N48" s="3" t="str">
        <f t="shared" si="26"/>
        <v/>
      </c>
      <c r="O48" s="14"/>
      <c r="P48" s="15"/>
      <c r="Q48" s="7"/>
    </row>
    <row r="49" spans="1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  <row r="51" spans="1:17" ht="20.100000000000001" customHeight="1" x14ac:dyDescent="0.4">
      <c r="A51" s="21" t="s">
        <v>15</v>
      </c>
      <c r="B51" s="21" t="s">
        <v>19</v>
      </c>
      <c r="C51" s="34" t="s">
        <v>18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ht="20.100000000000001" customHeight="1" x14ac:dyDescent="0.35">
      <c r="A52" s="4"/>
      <c r="B52" s="4"/>
      <c r="C52" s="35"/>
      <c r="D52" s="36"/>
      <c r="E52" s="37"/>
      <c r="F52" s="10"/>
      <c r="G52" s="38" t="s">
        <v>0</v>
      </c>
      <c r="H52" s="39"/>
      <c r="I52" s="40"/>
      <c r="J52" s="10"/>
      <c r="K52" s="41" t="s">
        <v>1</v>
      </c>
      <c r="L52" s="42"/>
      <c r="M52" s="43"/>
      <c r="N52" s="11"/>
      <c r="O52" s="11"/>
      <c r="P52" s="11"/>
      <c r="Q52" s="11"/>
    </row>
    <row r="53" spans="1:17" ht="20.100000000000001" customHeight="1" x14ac:dyDescent="0.3">
      <c r="A53" s="5"/>
      <c r="B53" s="5"/>
      <c r="C53" s="1" t="s">
        <v>6</v>
      </c>
      <c r="D53" s="9" t="s">
        <v>7</v>
      </c>
      <c r="E53" s="1" t="s">
        <v>8</v>
      </c>
      <c r="F53" s="2" t="s">
        <v>16</v>
      </c>
      <c r="G53" s="12" t="s">
        <v>9</v>
      </c>
      <c r="H53" s="12" t="s">
        <v>10</v>
      </c>
      <c r="I53" s="12" t="s">
        <v>11</v>
      </c>
      <c r="J53" s="2" t="s">
        <v>17</v>
      </c>
      <c r="K53" s="13" t="s">
        <v>12</v>
      </c>
      <c r="L53" s="13" t="s">
        <v>13</v>
      </c>
      <c r="M53" s="13" t="s">
        <v>14</v>
      </c>
      <c r="N53" s="11" t="s">
        <v>2</v>
      </c>
      <c r="O53" s="11" t="s">
        <v>3</v>
      </c>
      <c r="P53" s="11" t="s">
        <v>4</v>
      </c>
      <c r="Q53" s="11" t="s">
        <v>5</v>
      </c>
    </row>
    <row r="54" spans="1:17" ht="20.100000000000001" customHeight="1" x14ac:dyDescent="0.35">
      <c r="A54" s="28"/>
      <c r="B54" s="28"/>
      <c r="C54" s="29" t="s">
        <v>23</v>
      </c>
      <c r="D54" s="17" t="e">
        <f t="shared" ref="D54:D65" si="27">LEFT(B54, FIND("-", B54)-1)</f>
        <v>#VALUE!</v>
      </c>
      <c r="E54" s="18" t="e">
        <f t="shared" ref="E54:E65" si="28">MID(B54, FIND("-", B54)+1, FIND("-", B54, FIND("-", B54)+1)-FIND("-", B54)-1)</f>
        <v>#VALUE!</v>
      </c>
      <c r="F54" s="18"/>
      <c r="G54" s="18" t="str">
        <f t="shared" ref="G54:G65" si="29">IF(ISERROR(FIND("-D-", B54)), "", "X")</f>
        <v/>
      </c>
      <c r="H54" s="18" t="str">
        <f t="shared" ref="H54:H65" si="30">IF(ISERROR(FIND("-C-", B54)), "", "X")</f>
        <v/>
      </c>
      <c r="I54" s="18" t="str">
        <f t="shared" ref="I54:I65" si="31">IF(ISERROR(FIND("-E-", B54)), "", "X")</f>
        <v/>
      </c>
      <c r="J54" s="18"/>
      <c r="K54" s="18" t="str">
        <f t="shared" ref="K54:K65" si="32">IF(ISERROR(FIND("P1", A54)), "", "X")</f>
        <v/>
      </c>
      <c r="L54" s="18" t="str">
        <f t="shared" ref="L54:L65" si="33">IF(ISERROR(FIND("P2", A54)), "", "X")</f>
        <v/>
      </c>
      <c r="M54" s="18" t="str">
        <f t="shared" ref="M54:M65" si="34">IF(ISERROR(FIND("P3", A54)), "", "X")</f>
        <v/>
      </c>
      <c r="N54" s="3" t="str">
        <f t="shared" ref="N54:N65" si="35"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4" s="16"/>
      <c r="P54" s="19"/>
      <c r="Q54" s="20"/>
    </row>
    <row r="55" spans="1:17" ht="20.100000000000001" customHeight="1" x14ac:dyDescent="0.35">
      <c r="A55" s="28"/>
      <c r="B55" s="28"/>
      <c r="C55" s="30"/>
      <c r="D55" s="22" t="e">
        <f t="shared" si="27"/>
        <v>#VALUE!</v>
      </c>
      <c r="E55" s="23" t="e">
        <f t="shared" si="28"/>
        <v>#VALUE!</v>
      </c>
      <c r="F55" s="23"/>
      <c r="G55" s="23" t="str">
        <f t="shared" si="29"/>
        <v/>
      </c>
      <c r="H55" s="23" t="str">
        <f t="shared" si="30"/>
        <v/>
      </c>
      <c r="I55" s="23" t="str">
        <f t="shared" si="31"/>
        <v/>
      </c>
      <c r="J55" s="23"/>
      <c r="K55" s="23" t="str">
        <f t="shared" si="32"/>
        <v/>
      </c>
      <c r="L55" s="23" t="str">
        <f t="shared" si="33"/>
        <v/>
      </c>
      <c r="M55" s="23" t="str">
        <f t="shared" si="34"/>
        <v/>
      </c>
      <c r="N55" s="24" t="str">
        <f t="shared" si="35"/>
        <v/>
      </c>
      <c r="O55" s="25"/>
      <c r="P55" s="26"/>
      <c r="Q55" s="27"/>
    </row>
    <row r="56" spans="1:17" ht="20.100000000000001" customHeight="1" x14ac:dyDescent="0.35">
      <c r="A56" s="28"/>
      <c r="B56" s="28"/>
      <c r="C56" s="30"/>
      <c r="D56" s="22" t="e">
        <f t="shared" si="27"/>
        <v>#VALUE!</v>
      </c>
      <c r="E56" s="23" t="e">
        <f t="shared" si="28"/>
        <v>#VALUE!</v>
      </c>
      <c r="F56" s="23"/>
      <c r="G56" s="23" t="str">
        <f t="shared" si="29"/>
        <v/>
      </c>
      <c r="H56" s="23" t="str">
        <f t="shared" si="30"/>
        <v/>
      </c>
      <c r="I56" s="23" t="str">
        <f t="shared" si="31"/>
        <v/>
      </c>
      <c r="J56" s="23"/>
      <c r="K56" s="23" t="str">
        <f t="shared" si="32"/>
        <v/>
      </c>
      <c r="L56" s="23" t="str">
        <f t="shared" si="33"/>
        <v/>
      </c>
      <c r="M56" s="23" t="str">
        <f t="shared" si="34"/>
        <v/>
      </c>
      <c r="N56" s="24" t="str">
        <f t="shared" si="35"/>
        <v/>
      </c>
      <c r="O56" s="25"/>
      <c r="P56" s="26"/>
      <c r="Q56" s="27"/>
    </row>
    <row r="57" spans="1:17" ht="20.100000000000001" customHeight="1" x14ac:dyDescent="0.35">
      <c r="A57" s="28"/>
      <c r="B57" s="28"/>
      <c r="C57" s="30"/>
      <c r="D57" s="22" t="e">
        <f t="shared" si="27"/>
        <v>#VALUE!</v>
      </c>
      <c r="E57" s="23" t="e">
        <f t="shared" si="28"/>
        <v>#VALUE!</v>
      </c>
      <c r="F57" s="23"/>
      <c r="G57" s="23" t="str">
        <f t="shared" si="29"/>
        <v/>
      </c>
      <c r="H57" s="23" t="str">
        <f t="shared" si="30"/>
        <v/>
      </c>
      <c r="I57" s="23" t="str">
        <f t="shared" si="31"/>
        <v/>
      </c>
      <c r="J57" s="23"/>
      <c r="K57" s="23" t="str">
        <f t="shared" si="32"/>
        <v/>
      </c>
      <c r="L57" s="23" t="str">
        <f t="shared" si="33"/>
        <v/>
      </c>
      <c r="M57" s="23" t="str">
        <f t="shared" si="34"/>
        <v/>
      </c>
      <c r="N57" s="24" t="str">
        <f t="shared" si="35"/>
        <v/>
      </c>
      <c r="O57" s="25"/>
      <c r="P57" s="26"/>
      <c r="Q57" s="27"/>
    </row>
    <row r="58" spans="1:17" ht="20.100000000000001" customHeight="1" x14ac:dyDescent="0.35">
      <c r="A58" s="28"/>
      <c r="B58" s="28"/>
      <c r="C58" s="30"/>
      <c r="D58" s="22" t="e">
        <f t="shared" si="27"/>
        <v>#VALUE!</v>
      </c>
      <c r="E58" s="23" t="e">
        <f t="shared" si="28"/>
        <v>#VALUE!</v>
      </c>
      <c r="F58" s="23"/>
      <c r="G58" s="23" t="str">
        <f t="shared" si="29"/>
        <v/>
      </c>
      <c r="H58" s="23" t="str">
        <f t="shared" si="30"/>
        <v/>
      </c>
      <c r="I58" s="23" t="str">
        <f t="shared" si="31"/>
        <v/>
      </c>
      <c r="J58" s="23"/>
      <c r="K58" s="23" t="str">
        <f t="shared" si="32"/>
        <v/>
      </c>
      <c r="L58" s="23" t="str">
        <f t="shared" si="33"/>
        <v/>
      </c>
      <c r="M58" s="23" t="str">
        <f t="shared" si="34"/>
        <v/>
      </c>
      <c r="N58" s="24" t="str">
        <f t="shared" si="35"/>
        <v/>
      </c>
      <c r="O58" s="25"/>
      <c r="P58" s="26"/>
      <c r="Q58" s="27"/>
    </row>
    <row r="59" spans="1:17" ht="20.100000000000001" customHeight="1" x14ac:dyDescent="0.35">
      <c r="A59" s="16"/>
      <c r="B59" s="16"/>
      <c r="C59" s="30"/>
      <c r="D59" s="22" t="e">
        <f t="shared" si="27"/>
        <v>#VALUE!</v>
      </c>
      <c r="E59" s="23" t="e">
        <f t="shared" si="28"/>
        <v>#VALUE!</v>
      </c>
      <c r="F59" s="23"/>
      <c r="G59" s="23" t="str">
        <f t="shared" si="29"/>
        <v/>
      </c>
      <c r="H59" s="23" t="str">
        <f t="shared" si="30"/>
        <v/>
      </c>
      <c r="I59" s="23" t="str">
        <f t="shared" si="31"/>
        <v/>
      </c>
      <c r="J59" s="23"/>
      <c r="K59" s="23" t="str">
        <f t="shared" si="32"/>
        <v/>
      </c>
      <c r="L59" s="23" t="str">
        <f t="shared" si="33"/>
        <v/>
      </c>
      <c r="M59" s="23" t="str">
        <f t="shared" si="34"/>
        <v/>
      </c>
      <c r="N59" s="24" t="str">
        <f t="shared" si="35"/>
        <v/>
      </c>
      <c r="O59" s="25"/>
      <c r="P59" s="26"/>
      <c r="Q59" s="27"/>
    </row>
    <row r="60" spans="1:17" ht="20.100000000000001" customHeight="1" x14ac:dyDescent="0.35">
      <c r="A60" s="16"/>
      <c r="B60" s="16"/>
      <c r="C60" s="30"/>
      <c r="D60" s="22" t="e">
        <f t="shared" si="27"/>
        <v>#VALUE!</v>
      </c>
      <c r="E60" s="23" t="e">
        <f t="shared" si="28"/>
        <v>#VALUE!</v>
      </c>
      <c r="F60" s="23"/>
      <c r="G60" s="23" t="str">
        <f t="shared" si="29"/>
        <v/>
      </c>
      <c r="H60" s="23" t="str">
        <f t="shared" si="30"/>
        <v/>
      </c>
      <c r="I60" s="23" t="str">
        <f t="shared" si="31"/>
        <v/>
      </c>
      <c r="J60" s="23"/>
      <c r="K60" s="23" t="str">
        <f t="shared" si="32"/>
        <v/>
      </c>
      <c r="L60" s="23" t="str">
        <f t="shared" si="33"/>
        <v/>
      </c>
      <c r="M60" s="23" t="str">
        <f t="shared" si="34"/>
        <v/>
      </c>
      <c r="N60" s="24" t="str">
        <f t="shared" si="35"/>
        <v/>
      </c>
      <c r="O60" s="25"/>
      <c r="P60" s="26"/>
      <c r="Q60" s="27"/>
    </row>
    <row r="61" spans="1:17" ht="20.100000000000001" customHeight="1" x14ac:dyDescent="0.35">
      <c r="A61" s="16"/>
      <c r="B61" s="16"/>
      <c r="C61" s="30"/>
      <c r="D61" s="22" t="e">
        <f t="shared" si="27"/>
        <v>#VALUE!</v>
      </c>
      <c r="E61" s="23" t="e">
        <f t="shared" si="28"/>
        <v>#VALUE!</v>
      </c>
      <c r="F61" s="23"/>
      <c r="G61" s="23" t="str">
        <f t="shared" si="29"/>
        <v/>
      </c>
      <c r="H61" s="23" t="str">
        <f t="shared" si="30"/>
        <v/>
      </c>
      <c r="I61" s="23" t="str">
        <f t="shared" si="31"/>
        <v/>
      </c>
      <c r="J61" s="23"/>
      <c r="K61" s="23" t="str">
        <f t="shared" si="32"/>
        <v/>
      </c>
      <c r="L61" s="23" t="str">
        <f t="shared" si="33"/>
        <v/>
      </c>
      <c r="M61" s="23" t="str">
        <f t="shared" si="34"/>
        <v/>
      </c>
      <c r="N61" s="24" t="str">
        <f t="shared" si="35"/>
        <v/>
      </c>
      <c r="O61" s="25"/>
      <c r="P61" s="26"/>
      <c r="Q61" s="27"/>
    </row>
    <row r="62" spans="1:17" ht="20.100000000000001" customHeight="1" x14ac:dyDescent="0.35">
      <c r="A62" s="14"/>
      <c r="B62" s="14"/>
      <c r="C62" s="30"/>
      <c r="D62" s="8" t="e">
        <f t="shared" si="27"/>
        <v>#VALUE!</v>
      </c>
      <c r="E62" s="6" t="e">
        <f t="shared" si="28"/>
        <v>#VALUE!</v>
      </c>
      <c r="F62" s="6"/>
      <c r="G62" s="6" t="str">
        <f t="shared" si="29"/>
        <v/>
      </c>
      <c r="H62" s="6" t="str">
        <f t="shared" si="30"/>
        <v/>
      </c>
      <c r="I62" s="6" t="str">
        <f t="shared" si="31"/>
        <v/>
      </c>
      <c r="J62" s="6"/>
      <c r="K62" s="6" t="str">
        <f t="shared" si="32"/>
        <v/>
      </c>
      <c r="L62" s="6" t="str">
        <f t="shared" si="33"/>
        <v/>
      </c>
      <c r="M62" s="6" t="str">
        <f t="shared" si="34"/>
        <v/>
      </c>
      <c r="N62" s="3" t="str">
        <f t="shared" si="35"/>
        <v/>
      </c>
      <c r="O62" s="14"/>
      <c r="P62" s="15"/>
      <c r="Q62" s="7"/>
    </row>
    <row r="63" spans="1:17" ht="20.100000000000001" customHeight="1" x14ac:dyDescent="0.35">
      <c r="A63" s="14"/>
      <c r="B63" s="14"/>
      <c r="C63" s="30"/>
      <c r="D63" s="8" t="e">
        <f t="shared" si="27"/>
        <v>#VALUE!</v>
      </c>
      <c r="E63" s="6" t="e">
        <f t="shared" si="28"/>
        <v>#VALUE!</v>
      </c>
      <c r="F63" s="6"/>
      <c r="G63" s="6" t="str">
        <f t="shared" si="29"/>
        <v/>
      </c>
      <c r="H63" s="6" t="str">
        <f t="shared" si="30"/>
        <v/>
      </c>
      <c r="I63" s="6" t="str">
        <f t="shared" si="31"/>
        <v/>
      </c>
      <c r="J63" s="6"/>
      <c r="K63" s="6" t="str">
        <f t="shared" si="32"/>
        <v/>
      </c>
      <c r="L63" s="6" t="str">
        <f t="shared" si="33"/>
        <v/>
      </c>
      <c r="M63" s="6" t="str">
        <f t="shared" si="34"/>
        <v/>
      </c>
      <c r="N63" s="3" t="str">
        <f t="shared" si="35"/>
        <v/>
      </c>
      <c r="O63" s="14"/>
      <c r="P63" s="15"/>
      <c r="Q63" s="7"/>
    </row>
    <row r="64" spans="1:17" ht="20.100000000000001" customHeight="1" x14ac:dyDescent="0.35">
      <c r="A64" s="14"/>
      <c r="B64" s="14"/>
      <c r="C64" s="30"/>
      <c r="D64" s="8" t="e">
        <f t="shared" si="27"/>
        <v>#VALUE!</v>
      </c>
      <c r="E64" s="6" t="e">
        <f t="shared" si="28"/>
        <v>#VALUE!</v>
      </c>
      <c r="F64" s="6"/>
      <c r="G64" s="6" t="str">
        <f t="shared" si="29"/>
        <v/>
      </c>
      <c r="H64" s="6" t="str">
        <f t="shared" si="30"/>
        <v/>
      </c>
      <c r="I64" s="6" t="str">
        <f t="shared" si="31"/>
        <v/>
      </c>
      <c r="J64" s="6"/>
      <c r="K64" s="6" t="str">
        <f t="shared" si="32"/>
        <v/>
      </c>
      <c r="L64" s="6" t="str">
        <f t="shared" si="33"/>
        <v/>
      </c>
      <c r="M64" s="6" t="str">
        <f t="shared" si="34"/>
        <v/>
      </c>
      <c r="N64" s="3" t="str">
        <f t="shared" si="35"/>
        <v/>
      </c>
      <c r="O64" s="14"/>
      <c r="P64" s="15"/>
      <c r="Q64" s="7"/>
    </row>
    <row r="65" spans="1:17" ht="20.100000000000001" customHeight="1" x14ac:dyDescent="0.35">
      <c r="A65" s="14"/>
      <c r="B65" s="14"/>
      <c r="C65" s="30"/>
      <c r="D65" s="8" t="e">
        <f t="shared" si="27"/>
        <v>#VALUE!</v>
      </c>
      <c r="E65" s="6" t="e">
        <f t="shared" si="28"/>
        <v>#VALUE!</v>
      </c>
      <c r="F65" s="6"/>
      <c r="G65" s="6" t="str">
        <f t="shared" si="29"/>
        <v/>
      </c>
      <c r="H65" s="6" t="str">
        <f t="shared" si="30"/>
        <v/>
      </c>
      <c r="I65" s="6" t="str">
        <f t="shared" si="31"/>
        <v/>
      </c>
      <c r="J65" s="6"/>
      <c r="K65" s="6" t="str">
        <f t="shared" si="32"/>
        <v/>
      </c>
      <c r="L65" s="6" t="str">
        <f t="shared" si="33"/>
        <v/>
      </c>
      <c r="M65" s="6" t="str">
        <f t="shared" si="34"/>
        <v/>
      </c>
      <c r="N65" s="3" t="str">
        <f t="shared" si="35"/>
        <v/>
      </c>
      <c r="O65" s="14"/>
      <c r="P65" s="15"/>
      <c r="Q65" s="7"/>
    </row>
    <row r="66" spans="1:17" ht="20.100000000000001" customHeight="1" x14ac:dyDescent="0.25">
      <c r="C66" s="31" t="str">
        <f>COUNTIF(E54:E65, "RC") + COUNTIF(E54:E65, "RI") +  COUNTIF(E54:E65, "AC") + COUNTIF(E54:E65, "RR") + COUNTIF(E54:E65, "RU") + COUNTIF(E54:E65, "GR") + COUNTIF(E54:E65, "RP") + COUNTIF(E54:E65, "GC") + COUNTIF(E54:E65, "RB") &amp; " ROLOS (" &amp;
IF(COUNTIF(E54:E65, "RC") &gt; 0, COUNTIF(E54:E65, "RC") &amp; " RC; ", "") &amp;
IF(COUNTIF(E54:E65, "RI") &gt; 0, COUNTIF(E54:E65, "RI") &amp; " RI; ", "") &amp;
IF(COUNTIF(E54:E65, "RR") &gt; 0, COUNTIF(E54:E65, "RR") &amp; " RR; ", "") &amp;
IF(COUNTIF(E54:E65, "RU") &gt; 0, COUNTIF(E54:E65, "RU") &amp; " RU; ", "") &amp;
IF(COUNTIF(E54:E65, "GR") &gt; 0, COUNTIF(E54:E65, "GR") &amp; " GR; ", "") &amp;
IF(COUNTIF(E54:E65, "RP") &gt; 0, COUNTIF(E54:E65, "RP") &amp; " RP; ", "") &amp;
IF(COUNTIF(E54:E65, "GC") &gt; 0, COUNTIF(E54:E65, "GC") &amp; " GC; ", "") &amp;
IF(COUNTIF(E54:E65, "RB") &gt; 0, COUNTIF(E54:E65, "RB") &amp; " RB", "") &amp;
IF(COUNTIF(E54:E65, "AC") &gt; 0, COUNTIF(E54:E65, "AC") &amp; "AC", "")
&amp;")"</f>
        <v>0 ROLOS ()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</row>
    <row r="67" spans="1:17" ht="20.100000000000001" customHeight="1" x14ac:dyDescent="0.25"/>
    <row r="68" spans="1:17" ht="20.100000000000001" customHeight="1" x14ac:dyDescent="0.4">
      <c r="A68" s="21" t="s">
        <v>15</v>
      </c>
      <c r="B68" s="21" t="s">
        <v>19</v>
      </c>
      <c r="C68" s="34" t="s">
        <v>18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ht="20.100000000000001" customHeight="1" x14ac:dyDescent="0.35">
      <c r="A69" s="4"/>
      <c r="B69" s="4"/>
      <c r="C69" s="35"/>
      <c r="D69" s="36"/>
      <c r="E69" s="37"/>
      <c r="F69" s="10"/>
      <c r="G69" s="38" t="s">
        <v>0</v>
      </c>
      <c r="H69" s="39"/>
      <c r="I69" s="40"/>
      <c r="J69" s="10"/>
      <c r="K69" s="41" t="s">
        <v>1</v>
      </c>
      <c r="L69" s="42"/>
      <c r="M69" s="43"/>
      <c r="N69" s="11"/>
      <c r="O69" s="11"/>
      <c r="P69" s="11"/>
      <c r="Q69" s="11"/>
    </row>
    <row r="70" spans="1:17" ht="20.100000000000001" customHeight="1" x14ac:dyDescent="0.3">
      <c r="A70" s="5"/>
      <c r="B70" s="5"/>
      <c r="C70" s="1" t="s">
        <v>6</v>
      </c>
      <c r="D70" s="9" t="s">
        <v>7</v>
      </c>
      <c r="E70" s="1" t="s">
        <v>8</v>
      </c>
      <c r="F70" s="2" t="s">
        <v>16</v>
      </c>
      <c r="G70" s="12" t="s">
        <v>9</v>
      </c>
      <c r="H70" s="12" t="s">
        <v>10</v>
      </c>
      <c r="I70" s="12" t="s">
        <v>11</v>
      </c>
      <c r="J70" s="2" t="s">
        <v>17</v>
      </c>
      <c r="K70" s="13" t="s">
        <v>12</v>
      </c>
      <c r="L70" s="13" t="s">
        <v>13</v>
      </c>
      <c r="M70" s="13" t="s">
        <v>14</v>
      </c>
      <c r="N70" s="11" t="s">
        <v>2</v>
      </c>
      <c r="O70" s="11" t="s">
        <v>3</v>
      </c>
      <c r="P70" s="11" t="s">
        <v>4</v>
      </c>
      <c r="Q70" s="11" t="s">
        <v>5</v>
      </c>
    </row>
    <row r="71" spans="1:17" ht="20.100000000000001" customHeight="1" x14ac:dyDescent="0.35">
      <c r="A71" s="28"/>
      <c r="B71" s="28"/>
      <c r="C71" s="30" t="s">
        <v>24</v>
      </c>
      <c r="D71" s="22" t="e">
        <f t="shared" ref="D71:D80" si="36">LEFT(B71, FIND("-", B71)-1)</f>
        <v>#VALUE!</v>
      </c>
      <c r="E71" s="23" t="e">
        <f t="shared" ref="E71:E80" si="37">MID(B71, FIND("-", B71)+1, FIND("-", B71, FIND("-", B71)+1)-FIND("-", B71)-1)</f>
        <v>#VALUE!</v>
      </c>
      <c r="F71" s="23"/>
      <c r="G71" s="23" t="str">
        <f t="shared" ref="G71:G80" si="38">IF(ISERROR(FIND("-D-", B71)), "", "X")</f>
        <v/>
      </c>
      <c r="H71" s="23" t="str">
        <f t="shared" ref="H71:H80" si="39">IF(ISERROR(FIND("-C-", B71)), "", "X")</f>
        <v/>
      </c>
      <c r="I71" s="23" t="str">
        <f t="shared" ref="I71:I80" si="40">IF(ISERROR(FIND("-E-", B71)), "", "X")</f>
        <v/>
      </c>
      <c r="J71" s="23"/>
      <c r="K71" s="23" t="str">
        <f t="shared" ref="K71:K80" si="41">IF(ISERROR(FIND("P1", A71)), "", "X")</f>
        <v/>
      </c>
      <c r="L71" s="23" t="str">
        <f t="shared" ref="L71:L80" si="42">IF(ISERROR(FIND("P2", A71)), "", "X")</f>
        <v/>
      </c>
      <c r="M71" s="23" t="str">
        <f t="shared" ref="M71:M80" si="43">IF(ISERROR(FIND("P3", A71)), "", "X")</f>
        <v/>
      </c>
      <c r="N71" s="24" t="str">
        <f t="shared" ref="N71:N80" si="44"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71" s="25"/>
      <c r="P71" s="26"/>
      <c r="Q71" s="27"/>
    </row>
    <row r="72" spans="1:17" ht="20.100000000000001" customHeight="1" x14ac:dyDescent="0.35">
      <c r="A72" s="28"/>
      <c r="B72" s="28"/>
      <c r="C72" s="30"/>
      <c r="D72" s="22" t="e">
        <f t="shared" si="36"/>
        <v>#VALUE!</v>
      </c>
      <c r="E72" s="23" t="e">
        <f t="shared" si="37"/>
        <v>#VALUE!</v>
      </c>
      <c r="F72" s="23"/>
      <c r="G72" s="23" t="str">
        <f t="shared" si="38"/>
        <v/>
      </c>
      <c r="H72" s="23" t="str">
        <f t="shared" si="39"/>
        <v/>
      </c>
      <c r="I72" s="23" t="str">
        <f t="shared" si="40"/>
        <v/>
      </c>
      <c r="J72" s="23"/>
      <c r="K72" s="23" t="str">
        <f t="shared" si="41"/>
        <v/>
      </c>
      <c r="L72" s="23" t="str">
        <f t="shared" si="42"/>
        <v/>
      </c>
      <c r="M72" s="23" t="str">
        <f t="shared" si="43"/>
        <v/>
      </c>
      <c r="N72" s="24" t="str">
        <f t="shared" si="44"/>
        <v/>
      </c>
      <c r="O72" s="25"/>
      <c r="P72" s="26"/>
      <c r="Q72" s="27"/>
    </row>
    <row r="73" spans="1:17" ht="20.100000000000001" customHeight="1" x14ac:dyDescent="0.35">
      <c r="A73" s="28"/>
      <c r="B73" s="28"/>
      <c r="C73" s="30"/>
      <c r="D73" s="22" t="e">
        <f t="shared" si="36"/>
        <v>#VALUE!</v>
      </c>
      <c r="E73" s="23" t="e">
        <f t="shared" si="37"/>
        <v>#VALUE!</v>
      </c>
      <c r="F73" s="23"/>
      <c r="G73" s="23" t="str">
        <f t="shared" si="38"/>
        <v/>
      </c>
      <c r="H73" s="23" t="str">
        <f t="shared" si="39"/>
        <v/>
      </c>
      <c r="I73" s="23" t="str">
        <f t="shared" si="40"/>
        <v/>
      </c>
      <c r="J73" s="23"/>
      <c r="K73" s="23" t="str">
        <f t="shared" si="41"/>
        <v/>
      </c>
      <c r="L73" s="23" t="str">
        <f t="shared" si="42"/>
        <v/>
      </c>
      <c r="M73" s="23" t="str">
        <f t="shared" si="43"/>
        <v/>
      </c>
      <c r="N73" s="24" t="str">
        <f t="shared" si="44"/>
        <v/>
      </c>
      <c r="O73" s="25"/>
      <c r="P73" s="26"/>
      <c r="Q73" s="27"/>
    </row>
    <row r="74" spans="1:17" ht="20.100000000000001" customHeight="1" x14ac:dyDescent="0.35">
      <c r="A74" s="16"/>
      <c r="B74" s="16"/>
      <c r="C74" s="30"/>
      <c r="D74" s="22" t="e">
        <f t="shared" si="36"/>
        <v>#VALUE!</v>
      </c>
      <c r="E74" s="23" t="e">
        <f t="shared" si="37"/>
        <v>#VALUE!</v>
      </c>
      <c r="F74" s="23"/>
      <c r="G74" s="23" t="str">
        <f t="shared" si="38"/>
        <v/>
      </c>
      <c r="H74" s="23" t="str">
        <f t="shared" si="39"/>
        <v/>
      </c>
      <c r="I74" s="23" t="str">
        <f t="shared" si="40"/>
        <v/>
      </c>
      <c r="J74" s="23"/>
      <c r="K74" s="23" t="str">
        <f t="shared" si="41"/>
        <v/>
      </c>
      <c r="L74" s="23" t="str">
        <f t="shared" si="42"/>
        <v/>
      </c>
      <c r="M74" s="23" t="str">
        <f t="shared" si="43"/>
        <v/>
      </c>
      <c r="N74" s="24" t="str">
        <f t="shared" si="44"/>
        <v/>
      </c>
      <c r="O74" s="25"/>
      <c r="P74" s="26"/>
      <c r="Q74" s="27"/>
    </row>
    <row r="75" spans="1:17" ht="20.100000000000001" customHeight="1" x14ac:dyDescent="0.35">
      <c r="A75" s="16"/>
      <c r="B75" s="16"/>
      <c r="C75" s="30"/>
      <c r="D75" s="22" t="e">
        <f t="shared" si="36"/>
        <v>#VALUE!</v>
      </c>
      <c r="E75" s="23" t="e">
        <f t="shared" si="37"/>
        <v>#VALUE!</v>
      </c>
      <c r="F75" s="23"/>
      <c r="G75" s="23" t="str">
        <f t="shared" si="38"/>
        <v/>
      </c>
      <c r="H75" s="23" t="str">
        <f t="shared" si="39"/>
        <v/>
      </c>
      <c r="I75" s="23" t="str">
        <f t="shared" si="40"/>
        <v/>
      </c>
      <c r="J75" s="23"/>
      <c r="K75" s="23" t="str">
        <f t="shared" si="41"/>
        <v/>
      </c>
      <c r="L75" s="23" t="str">
        <f t="shared" si="42"/>
        <v/>
      </c>
      <c r="M75" s="23" t="str">
        <f t="shared" si="43"/>
        <v/>
      </c>
      <c r="N75" s="24" t="str">
        <f t="shared" si="44"/>
        <v/>
      </c>
      <c r="O75" s="25"/>
      <c r="P75" s="26"/>
      <c r="Q75" s="27"/>
    </row>
    <row r="76" spans="1:17" ht="20.100000000000001" customHeight="1" x14ac:dyDescent="0.35">
      <c r="A76" s="16"/>
      <c r="B76" s="16"/>
      <c r="C76" s="30"/>
      <c r="D76" s="22" t="e">
        <f t="shared" si="36"/>
        <v>#VALUE!</v>
      </c>
      <c r="E76" s="23" t="e">
        <f t="shared" si="37"/>
        <v>#VALUE!</v>
      </c>
      <c r="F76" s="23"/>
      <c r="G76" s="23" t="str">
        <f t="shared" si="38"/>
        <v/>
      </c>
      <c r="H76" s="23" t="str">
        <f t="shared" si="39"/>
        <v/>
      </c>
      <c r="I76" s="23" t="str">
        <f t="shared" si="40"/>
        <v/>
      </c>
      <c r="J76" s="23"/>
      <c r="K76" s="23" t="str">
        <f t="shared" si="41"/>
        <v/>
      </c>
      <c r="L76" s="23" t="str">
        <f t="shared" si="42"/>
        <v/>
      </c>
      <c r="M76" s="23" t="str">
        <f t="shared" si="43"/>
        <v/>
      </c>
      <c r="N76" s="24" t="str">
        <f t="shared" si="44"/>
        <v/>
      </c>
      <c r="O76" s="25"/>
      <c r="P76" s="26"/>
      <c r="Q76" s="27"/>
    </row>
    <row r="77" spans="1:17" ht="20.100000000000001" customHeight="1" x14ac:dyDescent="0.35">
      <c r="A77" s="14"/>
      <c r="B77" s="14"/>
      <c r="C77" s="30"/>
      <c r="D77" s="8" t="e">
        <f t="shared" si="36"/>
        <v>#VALUE!</v>
      </c>
      <c r="E77" s="6" t="e">
        <f t="shared" si="37"/>
        <v>#VALUE!</v>
      </c>
      <c r="F77" s="6"/>
      <c r="G77" s="6" t="str">
        <f t="shared" si="38"/>
        <v/>
      </c>
      <c r="H77" s="6" t="str">
        <f t="shared" si="39"/>
        <v/>
      </c>
      <c r="I77" s="6" t="str">
        <f t="shared" si="40"/>
        <v/>
      </c>
      <c r="J77" s="6"/>
      <c r="K77" s="6" t="str">
        <f t="shared" si="41"/>
        <v/>
      </c>
      <c r="L77" s="6" t="str">
        <f t="shared" si="42"/>
        <v/>
      </c>
      <c r="M77" s="6" t="str">
        <f t="shared" si="43"/>
        <v/>
      </c>
      <c r="N77" s="3" t="str">
        <f t="shared" si="44"/>
        <v/>
      </c>
      <c r="O77" s="14"/>
      <c r="P77" s="15"/>
      <c r="Q77" s="7"/>
    </row>
    <row r="78" spans="1:17" ht="20.100000000000001" customHeight="1" x14ac:dyDescent="0.35">
      <c r="A78" s="14"/>
      <c r="B78" s="14"/>
      <c r="C78" s="30"/>
      <c r="D78" s="8" t="e">
        <f t="shared" si="36"/>
        <v>#VALUE!</v>
      </c>
      <c r="E78" s="6" t="e">
        <f t="shared" si="37"/>
        <v>#VALUE!</v>
      </c>
      <c r="F78" s="6"/>
      <c r="G78" s="6" t="str">
        <f t="shared" si="38"/>
        <v/>
      </c>
      <c r="H78" s="6" t="str">
        <f t="shared" si="39"/>
        <v/>
      </c>
      <c r="I78" s="6" t="str">
        <f t="shared" si="40"/>
        <v/>
      </c>
      <c r="J78" s="6"/>
      <c r="K78" s="6" t="str">
        <f t="shared" si="41"/>
        <v/>
      </c>
      <c r="L78" s="6" t="str">
        <f t="shared" si="42"/>
        <v/>
      </c>
      <c r="M78" s="6" t="str">
        <f t="shared" si="43"/>
        <v/>
      </c>
      <c r="N78" s="3" t="str">
        <f t="shared" si="44"/>
        <v/>
      </c>
      <c r="O78" s="14"/>
      <c r="P78" s="15"/>
      <c r="Q78" s="7"/>
    </row>
    <row r="79" spans="1:17" ht="20.100000000000001" customHeight="1" x14ac:dyDescent="0.35">
      <c r="A79" s="14"/>
      <c r="B79" s="14"/>
      <c r="C79" s="30"/>
      <c r="D79" s="8" t="e">
        <f t="shared" si="36"/>
        <v>#VALUE!</v>
      </c>
      <c r="E79" s="6" t="e">
        <f t="shared" si="37"/>
        <v>#VALUE!</v>
      </c>
      <c r="F79" s="6"/>
      <c r="G79" s="6" t="str">
        <f t="shared" si="38"/>
        <v/>
      </c>
      <c r="H79" s="6" t="str">
        <f t="shared" si="39"/>
        <v/>
      </c>
      <c r="I79" s="6" t="str">
        <f t="shared" si="40"/>
        <v/>
      </c>
      <c r="J79" s="6"/>
      <c r="K79" s="6" t="str">
        <f t="shared" si="41"/>
        <v/>
      </c>
      <c r="L79" s="6" t="str">
        <f t="shared" si="42"/>
        <v/>
      </c>
      <c r="M79" s="6" t="str">
        <f t="shared" si="43"/>
        <v/>
      </c>
      <c r="N79" s="3" t="str">
        <f t="shared" si="44"/>
        <v/>
      </c>
      <c r="O79" s="14"/>
      <c r="P79" s="15"/>
      <c r="Q79" s="7"/>
    </row>
    <row r="80" spans="1:17" ht="20.100000000000001" customHeight="1" x14ac:dyDescent="0.35">
      <c r="A80" s="14"/>
      <c r="B80" s="14"/>
      <c r="C80" s="30"/>
      <c r="D80" s="8" t="e">
        <f t="shared" si="36"/>
        <v>#VALUE!</v>
      </c>
      <c r="E80" s="6" t="e">
        <f t="shared" si="37"/>
        <v>#VALUE!</v>
      </c>
      <c r="F80" s="6"/>
      <c r="G80" s="6" t="str">
        <f t="shared" si="38"/>
        <v/>
      </c>
      <c r="H80" s="6" t="str">
        <f t="shared" si="39"/>
        <v/>
      </c>
      <c r="I80" s="6" t="str">
        <f t="shared" si="40"/>
        <v/>
      </c>
      <c r="J80" s="6"/>
      <c r="K80" s="6" t="str">
        <f t="shared" si="41"/>
        <v/>
      </c>
      <c r="L80" s="6" t="str">
        <f t="shared" si="42"/>
        <v/>
      </c>
      <c r="M80" s="6" t="str">
        <f t="shared" si="43"/>
        <v/>
      </c>
      <c r="N80" s="3" t="str">
        <f t="shared" si="44"/>
        <v/>
      </c>
      <c r="O80" s="14"/>
      <c r="P80" s="15"/>
      <c r="Q80" s="7"/>
    </row>
    <row r="81" spans="1:17" ht="20.100000000000001" customHeight="1" x14ac:dyDescent="0.25">
      <c r="C81" s="31" t="str">
        <f>COUNTIF(E71:E80, "RC") + COUNTIF(E71:E80, "RI") +  COUNTIF(E71:E80, "AC") + COUNTIF(E71:E80, "RR") + COUNTIF(E71:E80, "RU") + COUNTIF(E71:E80, "GR") + COUNTIF(E71:E80, "RP") + COUNTIF(E71:E80, "GC") + COUNTIF(E71:E80, "RB") &amp; " ROLOS (" &amp;
IF(COUNTIF(E71:E80, "RC") &gt; 0, COUNTIF(E71:E80, "RC") &amp; " RC; ", "") &amp;
IF(COUNTIF(E71:E80, "RI") &gt; 0, COUNTIF(E71:E80, "RI") &amp; " RI; ", "") &amp;
IF(COUNTIF(E71:E80, "RR") &gt; 0, COUNTIF(E71:E80, "RR") &amp; " RR; ", "") &amp;
IF(COUNTIF(E71:E80, "RU") &gt; 0, COUNTIF(E71:E80, "RU") &amp; " RU; ", "") &amp;
IF(COUNTIF(E71:E80, "GR") &gt; 0, COUNTIF(E71:E80, "GR") &amp; " GR; ", "") &amp;
IF(COUNTIF(E71:E80, "RP") &gt; 0, COUNTIF(E71:E80, "RP") &amp; " RP; ", "") &amp;
IF(COUNTIF(E71:E80, "GC") &gt; 0, COUNTIF(E71:E80, "GC") &amp; " GC; ", "") &amp;
IF(COUNTIF(E71:E80, "RB") &gt; 0, COUNTIF(E71:E80, "RB") &amp; " RB", "") &amp;
IF(COUNTIF(E71:E80, "AC") &gt; 0, COUNTIF(E71:E80, "AC") &amp; "AC", "")
&amp;")"</f>
        <v>0 ROLOS ()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/>
    </row>
    <row r="82" spans="1:17" ht="20.100000000000001" customHeight="1" x14ac:dyDescent="0.25"/>
    <row r="83" spans="1:17" ht="20.100000000000001" customHeight="1" x14ac:dyDescent="0.4">
      <c r="A83" s="21" t="s">
        <v>15</v>
      </c>
      <c r="B83" s="21" t="s">
        <v>19</v>
      </c>
      <c r="C83" s="34" t="s">
        <v>18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 ht="20.100000000000001" customHeight="1" x14ac:dyDescent="0.35">
      <c r="A84" s="4"/>
      <c r="B84" s="4"/>
      <c r="C84" s="35"/>
      <c r="D84" s="36"/>
      <c r="E84" s="37"/>
      <c r="F84" s="10"/>
      <c r="G84" s="38" t="s">
        <v>0</v>
      </c>
      <c r="H84" s="39"/>
      <c r="I84" s="40"/>
      <c r="J84" s="10"/>
      <c r="K84" s="41" t="s">
        <v>1</v>
      </c>
      <c r="L84" s="42"/>
      <c r="M84" s="43"/>
      <c r="N84" s="11"/>
      <c r="O84" s="11"/>
      <c r="P84" s="11"/>
      <c r="Q84" s="11"/>
    </row>
    <row r="85" spans="1:17" ht="20.100000000000001" customHeight="1" x14ac:dyDescent="0.3">
      <c r="A85" s="5"/>
      <c r="B85" s="5"/>
      <c r="C85" s="1" t="s">
        <v>6</v>
      </c>
      <c r="D85" s="9" t="s">
        <v>7</v>
      </c>
      <c r="E85" s="1" t="s">
        <v>8</v>
      </c>
      <c r="F85" s="2" t="s">
        <v>16</v>
      </c>
      <c r="G85" s="12" t="s">
        <v>9</v>
      </c>
      <c r="H85" s="12" t="s">
        <v>10</v>
      </c>
      <c r="I85" s="12" t="s">
        <v>11</v>
      </c>
      <c r="J85" s="2" t="s">
        <v>17</v>
      </c>
      <c r="K85" s="13" t="s">
        <v>12</v>
      </c>
      <c r="L85" s="13" t="s">
        <v>13</v>
      </c>
      <c r="M85" s="13" t="s">
        <v>14</v>
      </c>
      <c r="N85" s="11" t="s">
        <v>2</v>
      </c>
      <c r="O85" s="11" t="s">
        <v>3</v>
      </c>
      <c r="P85" s="11" t="s">
        <v>4</v>
      </c>
      <c r="Q85" s="11" t="s">
        <v>5</v>
      </c>
    </row>
    <row r="86" spans="1:17" ht="20.100000000000001" customHeight="1" x14ac:dyDescent="0.35">
      <c r="A86" s="28"/>
      <c r="B86" s="28"/>
      <c r="C86" s="29" t="s">
        <v>25</v>
      </c>
      <c r="D86" s="17" t="e">
        <f t="shared" ref="D86:D97" si="45">LEFT(B86, FIND("-", B86)-1)</f>
        <v>#VALUE!</v>
      </c>
      <c r="E86" s="18" t="e">
        <f t="shared" ref="E86:E97" si="46">MID(B86, FIND("-", B86)+1, FIND("-", B86, FIND("-", B86)+1)-FIND("-", B86)-1)</f>
        <v>#VALUE!</v>
      </c>
      <c r="F86" s="18"/>
      <c r="G86" s="18" t="str">
        <f t="shared" ref="G86:G97" si="47">IF(ISERROR(FIND("-D-", B86)), "", "X")</f>
        <v/>
      </c>
      <c r="H86" s="18" t="str">
        <f t="shared" ref="H86:H97" si="48">IF(ISERROR(FIND("-C-", B86)), "", "X")</f>
        <v/>
      </c>
      <c r="I86" s="18" t="str">
        <f t="shared" ref="I86:I97" si="49">IF(ISERROR(FIND("-E-", B86)), "", "X")</f>
        <v/>
      </c>
      <c r="J86" s="18"/>
      <c r="K86" s="18" t="str">
        <f t="shared" ref="K86:K97" si="50">IF(ISERROR(FIND("P1", A86)), "", "X")</f>
        <v/>
      </c>
      <c r="L86" s="18" t="str">
        <f t="shared" ref="L86:L97" si="51">IF(ISERROR(FIND("P2", A86)), "", "X")</f>
        <v/>
      </c>
      <c r="M86" s="18" t="str">
        <f t="shared" ref="M86:M97" si="52">IF(ISERROR(FIND("P3", A86)), "", "X")</f>
        <v/>
      </c>
      <c r="N86" s="3" t="str">
        <f t="shared" ref="N86:N97" si="53">IF(ISERROR(FIND("RO", B86)),
    IF(ISERROR(FIND("CD", B86)),
        IF(ISERROR(FIND("CG", B86)),
            IF(ISERROR(FIND("AG", B86)),
                IF(ISERROR(FIND("RT", B86)),
                    IF(ISERROR(FIND("RF", B86)),
                        IF(ISERROR(FIND("AM", B86)),
                            IF(ISERROR(FIND("RP", B86)),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86" s="16"/>
      <c r="P86" s="19"/>
      <c r="Q86" s="20"/>
    </row>
    <row r="87" spans="1:17" ht="20.100000000000001" customHeight="1" x14ac:dyDescent="0.35">
      <c r="A87" s="28"/>
      <c r="B87" s="28"/>
      <c r="C87" s="30"/>
      <c r="D87" s="22" t="e">
        <f t="shared" si="45"/>
        <v>#VALUE!</v>
      </c>
      <c r="E87" s="23" t="e">
        <f t="shared" si="46"/>
        <v>#VALUE!</v>
      </c>
      <c r="F87" s="23"/>
      <c r="G87" s="23" t="str">
        <f t="shared" si="47"/>
        <v/>
      </c>
      <c r="H87" s="23" t="str">
        <f t="shared" si="48"/>
        <v/>
      </c>
      <c r="I87" s="23" t="str">
        <f t="shared" si="49"/>
        <v/>
      </c>
      <c r="J87" s="23"/>
      <c r="K87" s="23" t="str">
        <f t="shared" si="50"/>
        <v/>
      </c>
      <c r="L87" s="23" t="str">
        <f t="shared" si="51"/>
        <v/>
      </c>
      <c r="M87" s="23" t="str">
        <f t="shared" si="52"/>
        <v/>
      </c>
      <c r="N87" s="24" t="str">
        <f t="shared" si="53"/>
        <v/>
      </c>
      <c r="O87" s="25"/>
      <c r="P87" s="26"/>
      <c r="Q87" s="27"/>
    </row>
    <row r="88" spans="1:17" ht="20.100000000000001" customHeight="1" x14ac:dyDescent="0.35">
      <c r="A88" s="28"/>
      <c r="B88" s="28"/>
      <c r="C88" s="30"/>
      <c r="D88" s="22" t="e">
        <f t="shared" si="45"/>
        <v>#VALUE!</v>
      </c>
      <c r="E88" s="23" t="e">
        <f t="shared" si="46"/>
        <v>#VALUE!</v>
      </c>
      <c r="F88" s="23"/>
      <c r="G88" s="23" t="str">
        <f t="shared" si="47"/>
        <v/>
      </c>
      <c r="H88" s="23" t="str">
        <f t="shared" si="48"/>
        <v/>
      </c>
      <c r="I88" s="23" t="str">
        <f t="shared" si="49"/>
        <v/>
      </c>
      <c r="J88" s="23"/>
      <c r="K88" s="23" t="str">
        <f t="shared" si="50"/>
        <v/>
      </c>
      <c r="L88" s="23" t="str">
        <f t="shared" si="51"/>
        <v/>
      </c>
      <c r="M88" s="23" t="str">
        <f t="shared" si="52"/>
        <v/>
      </c>
      <c r="N88" s="24" t="str">
        <f t="shared" si="53"/>
        <v/>
      </c>
      <c r="O88" s="25"/>
      <c r="P88" s="26"/>
      <c r="Q88" s="27"/>
    </row>
    <row r="89" spans="1:17" ht="20.100000000000001" customHeight="1" x14ac:dyDescent="0.35">
      <c r="A89" s="28"/>
      <c r="B89" s="28"/>
      <c r="C89" s="30"/>
      <c r="D89" s="22" t="e">
        <f t="shared" si="45"/>
        <v>#VALUE!</v>
      </c>
      <c r="E89" s="23" t="e">
        <f t="shared" si="46"/>
        <v>#VALUE!</v>
      </c>
      <c r="F89" s="23"/>
      <c r="G89" s="23" t="str">
        <f t="shared" si="47"/>
        <v/>
      </c>
      <c r="H89" s="23" t="str">
        <f t="shared" si="48"/>
        <v/>
      </c>
      <c r="I89" s="23" t="str">
        <f t="shared" si="49"/>
        <v/>
      </c>
      <c r="J89" s="23"/>
      <c r="K89" s="23" t="str">
        <f t="shared" si="50"/>
        <v/>
      </c>
      <c r="L89" s="23" t="str">
        <f t="shared" si="51"/>
        <v/>
      </c>
      <c r="M89" s="23" t="str">
        <f t="shared" si="52"/>
        <v/>
      </c>
      <c r="N89" s="24" t="str">
        <f t="shared" si="53"/>
        <v/>
      </c>
      <c r="O89" s="25"/>
      <c r="P89" s="26"/>
      <c r="Q89" s="27"/>
    </row>
    <row r="90" spans="1:17" ht="20.100000000000001" customHeight="1" x14ac:dyDescent="0.35">
      <c r="A90" s="28"/>
      <c r="B90" s="28"/>
      <c r="C90" s="30"/>
      <c r="D90" s="22" t="e">
        <f t="shared" si="45"/>
        <v>#VALUE!</v>
      </c>
      <c r="E90" s="23" t="e">
        <f t="shared" si="46"/>
        <v>#VALUE!</v>
      </c>
      <c r="F90" s="23"/>
      <c r="G90" s="23" t="str">
        <f t="shared" si="47"/>
        <v/>
      </c>
      <c r="H90" s="23" t="str">
        <f t="shared" si="48"/>
        <v/>
      </c>
      <c r="I90" s="23" t="str">
        <f t="shared" si="49"/>
        <v/>
      </c>
      <c r="J90" s="23"/>
      <c r="K90" s="23" t="str">
        <f t="shared" si="50"/>
        <v/>
      </c>
      <c r="L90" s="23" t="str">
        <f t="shared" si="51"/>
        <v/>
      </c>
      <c r="M90" s="23" t="str">
        <f t="shared" si="52"/>
        <v/>
      </c>
      <c r="N90" s="24" t="str">
        <f t="shared" si="53"/>
        <v/>
      </c>
      <c r="O90" s="25"/>
      <c r="P90" s="26"/>
      <c r="Q90" s="27"/>
    </row>
    <row r="91" spans="1:17" ht="20.100000000000001" customHeight="1" x14ac:dyDescent="0.35">
      <c r="A91" s="16"/>
      <c r="B91" s="16"/>
      <c r="C91" s="30"/>
      <c r="D91" s="22" t="e">
        <f t="shared" si="45"/>
        <v>#VALUE!</v>
      </c>
      <c r="E91" s="23" t="e">
        <f t="shared" si="46"/>
        <v>#VALUE!</v>
      </c>
      <c r="F91" s="23"/>
      <c r="G91" s="23" t="str">
        <f t="shared" si="47"/>
        <v/>
      </c>
      <c r="H91" s="23" t="str">
        <f t="shared" si="48"/>
        <v/>
      </c>
      <c r="I91" s="23" t="str">
        <f t="shared" si="49"/>
        <v/>
      </c>
      <c r="J91" s="23"/>
      <c r="K91" s="23" t="str">
        <f t="shared" si="50"/>
        <v/>
      </c>
      <c r="L91" s="23" t="str">
        <f t="shared" si="51"/>
        <v/>
      </c>
      <c r="M91" s="23" t="str">
        <f t="shared" si="52"/>
        <v/>
      </c>
      <c r="N91" s="24" t="str">
        <f t="shared" si="53"/>
        <v/>
      </c>
      <c r="O91" s="25"/>
      <c r="P91" s="26"/>
      <c r="Q91" s="27"/>
    </row>
    <row r="92" spans="1:17" ht="20.100000000000001" customHeight="1" x14ac:dyDescent="0.35">
      <c r="A92" s="16"/>
      <c r="B92" s="16"/>
      <c r="C92" s="30"/>
      <c r="D92" s="22" t="e">
        <f t="shared" si="45"/>
        <v>#VALUE!</v>
      </c>
      <c r="E92" s="23" t="e">
        <f t="shared" si="46"/>
        <v>#VALUE!</v>
      </c>
      <c r="F92" s="23"/>
      <c r="G92" s="23" t="str">
        <f t="shared" si="47"/>
        <v/>
      </c>
      <c r="H92" s="23" t="str">
        <f t="shared" si="48"/>
        <v/>
      </c>
      <c r="I92" s="23" t="str">
        <f t="shared" si="49"/>
        <v/>
      </c>
      <c r="J92" s="23"/>
      <c r="K92" s="23" t="str">
        <f t="shared" si="50"/>
        <v/>
      </c>
      <c r="L92" s="23" t="str">
        <f t="shared" si="51"/>
        <v/>
      </c>
      <c r="M92" s="23" t="str">
        <f t="shared" si="52"/>
        <v/>
      </c>
      <c r="N92" s="24" t="str">
        <f t="shared" si="53"/>
        <v/>
      </c>
      <c r="O92" s="25"/>
      <c r="P92" s="26"/>
      <c r="Q92" s="27"/>
    </row>
    <row r="93" spans="1:17" ht="20.100000000000001" customHeight="1" x14ac:dyDescent="0.35">
      <c r="A93" s="16"/>
      <c r="B93" s="16"/>
      <c r="C93" s="30"/>
      <c r="D93" s="22" t="e">
        <f t="shared" si="45"/>
        <v>#VALUE!</v>
      </c>
      <c r="E93" s="23" t="e">
        <f t="shared" si="46"/>
        <v>#VALUE!</v>
      </c>
      <c r="F93" s="23"/>
      <c r="G93" s="23" t="str">
        <f t="shared" si="47"/>
        <v/>
      </c>
      <c r="H93" s="23" t="str">
        <f t="shared" si="48"/>
        <v/>
      </c>
      <c r="I93" s="23" t="str">
        <f t="shared" si="49"/>
        <v/>
      </c>
      <c r="J93" s="23"/>
      <c r="K93" s="23" t="str">
        <f t="shared" si="50"/>
        <v/>
      </c>
      <c r="L93" s="23" t="str">
        <f t="shared" si="51"/>
        <v/>
      </c>
      <c r="M93" s="23" t="str">
        <f t="shared" si="52"/>
        <v/>
      </c>
      <c r="N93" s="24" t="str">
        <f t="shared" si="53"/>
        <v/>
      </c>
      <c r="O93" s="25"/>
      <c r="P93" s="26"/>
      <c r="Q93" s="27"/>
    </row>
    <row r="94" spans="1:17" ht="20.100000000000001" customHeight="1" x14ac:dyDescent="0.35">
      <c r="A94" s="14"/>
      <c r="B94" s="14"/>
      <c r="C94" s="30"/>
      <c r="D94" s="8" t="e">
        <f t="shared" si="45"/>
        <v>#VALUE!</v>
      </c>
      <c r="E94" s="6" t="e">
        <f t="shared" si="46"/>
        <v>#VALUE!</v>
      </c>
      <c r="F94" s="6"/>
      <c r="G94" s="6" t="str">
        <f t="shared" si="47"/>
        <v/>
      </c>
      <c r="H94" s="6" t="str">
        <f t="shared" si="48"/>
        <v/>
      </c>
      <c r="I94" s="6" t="str">
        <f t="shared" si="49"/>
        <v/>
      </c>
      <c r="J94" s="6"/>
      <c r="K94" s="6" t="str">
        <f t="shared" si="50"/>
        <v/>
      </c>
      <c r="L94" s="6" t="str">
        <f t="shared" si="51"/>
        <v/>
      </c>
      <c r="M94" s="6" t="str">
        <f t="shared" si="52"/>
        <v/>
      </c>
      <c r="N94" s="3" t="str">
        <f t="shared" si="53"/>
        <v/>
      </c>
      <c r="O94" s="14"/>
      <c r="P94" s="15"/>
      <c r="Q94" s="7"/>
    </row>
    <row r="95" spans="1:17" ht="20.100000000000001" customHeight="1" x14ac:dyDescent="0.35">
      <c r="A95" s="14"/>
      <c r="B95" s="14"/>
      <c r="C95" s="30"/>
      <c r="D95" s="8" t="e">
        <f t="shared" si="45"/>
        <v>#VALUE!</v>
      </c>
      <c r="E95" s="6" t="e">
        <f t="shared" si="46"/>
        <v>#VALUE!</v>
      </c>
      <c r="F95" s="6"/>
      <c r="G95" s="6" t="str">
        <f t="shared" si="47"/>
        <v/>
      </c>
      <c r="H95" s="6" t="str">
        <f t="shared" si="48"/>
        <v/>
      </c>
      <c r="I95" s="6" t="str">
        <f t="shared" si="49"/>
        <v/>
      </c>
      <c r="J95" s="6"/>
      <c r="K95" s="6" t="str">
        <f t="shared" si="50"/>
        <v/>
      </c>
      <c r="L95" s="6" t="str">
        <f t="shared" si="51"/>
        <v/>
      </c>
      <c r="M95" s="6" t="str">
        <f t="shared" si="52"/>
        <v/>
      </c>
      <c r="N95" s="3" t="str">
        <f t="shared" si="53"/>
        <v/>
      </c>
      <c r="O95" s="14"/>
      <c r="P95" s="15"/>
      <c r="Q95" s="7"/>
    </row>
    <row r="96" spans="1:17" ht="20.100000000000001" customHeight="1" x14ac:dyDescent="0.35">
      <c r="A96" s="14"/>
      <c r="B96" s="14"/>
      <c r="C96" s="30"/>
      <c r="D96" s="8" t="e">
        <f t="shared" si="45"/>
        <v>#VALUE!</v>
      </c>
      <c r="E96" s="6" t="e">
        <f t="shared" si="46"/>
        <v>#VALUE!</v>
      </c>
      <c r="F96" s="6"/>
      <c r="G96" s="6" t="str">
        <f t="shared" si="47"/>
        <v/>
      </c>
      <c r="H96" s="6" t="str">
        <f t="shared" si="48"/>
        <v/>
      </c>
      <c r="I96" s="6" t="str">
        <f t="shared" si="49"/>
        <v/>
      </c>
      <c r="J96" s="6"/>
      <c r="K96" s="6" t="str">
        <f t="shared" si="50"/>
        <v/>
      </c>
      <c r="L96" s="6" t="str">
        <f t="shared" si="51"/>
        <v/>
      </c>
      <c r="M96" s="6" t="str">
        <f t="shared" si="52"/>
        <v/>
      </c>
      <c r="N96" s="3" t="str">
        <f t="shared" si="53"/>
        <v/>
      </c>
      <c r="O96" s="14"/>
      <c r="P96" s="15"/>
      <c r="Q96" s="7"/>
    </row>
    <row r="97" spans="1:17" ht="20.100000000000001" customHeight="1" x14ac:dyDescent="0.35">
      <c r="A97" s="14"/>
      <c r="B97" s="14"/>
      <c r="C97" s="30"/>
      <c r="D97" s="8" t="e">
        <f t="shared" si="45"/>
        <v>#VALUE!</v>
      </c>
      <c r="E97" s="6" t="e">
        <f t="shared" si="46"/>
        <v>#VALUE!</v>
      </c>
      <c r="F97" s="6"/>
      <c r="G97" s="6" t="str">
        <f t="shared" si="47"/>
        <v/>
      </c>
      <c r="H97" s="6" t="str">
        <f t="shared" si="48"/>
        <v/>
      </c>
      <c r="I97" s="6" t="str">
        <f t="shared" si="49"/>
        <v/>
      </c>
      <c r="J97" s="6"/>
      <c r="K97" s="6" t="str">
        <f t="shared" si="50"/>
        <v/>
      </c>
      <c r="L97" s="6" t="str">
        <f t="shared" si="51"/>
        <v/>
      </c>
      <c r="M97" s="6" t="str">
        <f t="shared" si="52"/>
        <v/>
      </c>
      <c r="N97" s="3" t="str">
        <f t="shared" si="53"/>
        <v/>
      </c>
      <c r="O97" s="14"/>
      <c r="P97" s="15"/>
      <c r="Q97" s="7"/>
    </row>
    <row r="98" spans="1:17" ht="20.100000000000001" customHeight="1" x14ac:dyDescent="0.25">
      <c r="C98" s="31" t="str">
        <f>COUNTIF(E86:E97, "RC") + COUNTIF(E86:E97, "RI") +  COUNTIF(E86:E97, "AC") + COUNTIF(E86:E97, "RR") + COUNTIF(E86:E97, "RU") + COUNTIF(E86:E97, "GR") + COUNTIF(E86:E97, "RP") + COUNTIF(E86:E97, "GC") + COUNTIF(E86:E97, "RB") &amp; " ROLOS (" &amp;
IF(COUNTIF(E86:E97, "RC") &gt; 0, COUNTIF(E86:E97, "RC") &amp; " RC; ", "") &amp;
IF(COUNTIF(E86:E97, "RI") &gt; 0, COUNTIF(E86:E97, "RI") &amp; " RI; ", "") &amp;
IF(COUNTIF(E86:E97, "RR") &gt; 0, COUNTIF(E86:E97, "RR") &amp; " RR; ", "") &amp;
IF(COUNTIF(E86:E97, "RU") &gt; 0, COUNTIF(E86:E97, "RU") &amp; " RU; ", "") &amp;
IF(COUNTIF(E86:E97, "GR") &gt; 0, COUNTIF(E86:E97, "GR") &amp; " GR; ", "") &amp;
IF(COUNTIF(E86:E97, "RP") &gt; 0, COUNTIF(E86:E97, "RP") &amp; " RP; ", "") &amp;
IF(COUNTIF(E86:E97, "GC") &gt; 0, COUNTIF(E86:E97, "GC") &amp; " GC; ", "") &amp;
IF(COUNTIF(E86:E97, "RB") &gt; 0, COUNTIF(E86:E97, "RB") &amp; " RB", "") &amp;
IF(COUNTIF(E86:E97, "AC") &gt; 0, COUNTIF(E86:E97, "AC") &amp; "AC", "")
&amp;")"</f>
        <v>0 ROLOS ()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3"/>
    </row>
    <row r="99" spans="1:17" ht="20.100000000000001" customHeight="1" x14ac:dyDescent="0.25"/>
    <row r="100" spans="1:17" ht="20.100000000000001" customHeight="1" x14ac:dyDescent="0.4">
      <c r="A100" s="21" t="s">
        <v>15</v>
      </c>
      <c r="B100" s="21" t="s">
        <v>19</v>
      </c>
      <c r="C100" s="34" t="s">
        <v>18</v>
      </c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 ht="20.100000000000001" customHeight="1" x14ac:dyDescent="0.35">
      <c r="A101" s="4"/>
      <c r="B101" s="4"/>
      <c r="C101" s="35"/>
      <c r="D101" s="36"/>
      <c r="E101" s="37"/>
      <c r="F101" s="10"/>
      <c r="G101" s="38" t="s">
        <v>0</v>
      </c>
      <c r="H101" s="39"/>
      <c r="I101" s="40"/>
      <c r="J101" s="10"/>
      <c r="K101" s="41" t="s">
        <v>1</v>
      </c>
      <c r="L101" s="42"/>
      <c r="M101" s="43"/>
      <c r="N101" s="11"/>
      <c r="O101" s="11"/>
      <c r="P101" s="11"/>
      <c r="Q101" s="11"/>
    </row>
    <row r="102" spans="1:17" ht="20.100000000000001" customHeight="1" x14ac:dyDescent="0.3">
      <c r="A102" s="5"/>
      <c r="B102" s="5"/>
      <c r="C102" s="1" t="s">
        <v>6</v>
      </c>
      <c r="D102" s="9" t="s">
        <v>7</v>
      </c>
      <c r="E102" s="1" t="s">
        <v>8</v>
      </c>
      <c r="F102" s="2" t="s">
        <v>16</v>
      </c>
      <c r="G102" s="12" t="s">
        <v>9</v>
      </c>
      <c r="H102" s="12" t="s">
        <v>10</v>
      </c>
      <c r="I102" s="12" t="s">
        <v>11</v>
      </c>
      <c r="J102" s="2" t="s">
        <v>17</v>
      </c>
      <c r="K102" s="13" t="s">
        <v>12</v>
      </c>
      <c r="L102" s="13" t="s">
        <v>13</v>
      </c>
      <c r="M102" s="13" t="s">
        <v>14</v>
      </c>
      <c r="N102" s="11" t="s">
        <v>2</v>
      </c>
      <c r="O102" s="11" t="s">
        <v>3</v>
      </c>
      <c r="P102" s="11" t="s">
        <v>4</v>
      </c>
      <c r="Q102" s="11" t="s">
        <v>5</v>
      </c>
    </row>
    <row r="103" spans="1:17" ht="20.100000000000001" customHeight="1" x14ac:dyDescent="0.35">
      <c r="A103" s="28"/>
      <c r="B103" s="28"/>
      <c r="C103" s="29" t="s">
        <v>26</v>
      </c>
      <c r="D103" s="17" t="e">
        <f t="shared" ref="D103:D114" si="54">LEFT(B103, FIND("-", B103)-1)</f>
        <v>#VALUE!</v>
      </c>
      <c r="E103" s="18" t="e">
        <f t="shared" ref="E103:E114" si="55">MID(B103, FIND("-", B103)+1, FIND("-", B103, FIND("-", B103)+1)-FIND("-", B103)-1)</f>
        <v>#VALUE!</v>
      </c>
      <c r="F103" s="18"/>
      <c r="G103" s="18" t="str">
        <f t="shared" ref="G103:G114" si="56">IF(ISERROR(FIND("-D-", B103)), "", "X")</f>
        <v/>
      </c>
      <c r="H103" s="18" t="str">
        <f t="shared" ref="H103:H114" si="57">IF(ISERROR(FIND("-C-", B103)), "", "X")</f>
        <v/>
      </c>
      <c r="I103" s="18" t="str">
        <f t="shared" ref="I103:I114" si="58">IF(ISERROR(FIND("-E-", B103)), "", "X")</f>
        <v/>
      </c>
      <c r="J103" s="18"/>
      <c r="K103" s="18" t="str">
        <f t="shared" ref="K103:K114" si="59">IF(ISERROR(FIND("P1", A103)), "", "X")</f>
        <v/>
      </c>
      <c r="L103" s="18" t="str">
        <f t="shared" ref="L103:L114" si="60">IF(ISERROR(FIND("P2", A103)), "", "X")</f>
        <v/>
      </c>
      <c r="M103" s="18" t="str">
        <f t="shared" ref="M103:M114" si="61">IF(ISERROR(FIND("P3", A103)), "", "X")</f>
        <v/>
      </c>
      <c r="N103" s="3" t="str">
        <f t="shared" ref="N103:N114" si="62">IF(ISERROR(FIND("RO", B103)),
    IF(ISERROR(FIND("CD", B103)),
        IF(ISERROR(FIND("CG", B103)),
            IF(ISERROR(FIND("AG", B103)),
                IF(ISERROR(FIND("RT", B103)),
                    IF(ISERROR(FIND("RF", B103)),
                        IF(ISERROR(FIND("AM", B103)),
                            IF(ISERROR(FIND("RP", B103)),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103" s="16"/>
      <c r="P103" s="19"/>
      <c r="Q103" s="20"/>
    </row>
    <row r="104" spans="1:17" ht="20.100000000000001" customHeight="1" x14ac:dyDescent="0.35">
      <c r="A104" s="28"/>
      <c r="B104" s="28"/>
      <c r="C104" s="30"/>
      <c r="D104" s="22" t="e">
        <f t="shared" si="54"/>
        <v>#VALUE!</v>
      </c>
      <c r="E104" s="23" t="e">
        <f t="shared" si="55"/>
        <v>#VALUE!</v>
      </c>
      <c r="F104" s="23"/>
      <c r="G104" s="23" t="str">
        <f t="shared" si="56"/>
        <v/>
      </c>
      <c r="H104" s="23" t="str">
        <f t="shared" si="57"/>
        <v/>
      </c>
      <c r="I104" s="23" t="str">
        <f t="shared" si="58"/>
        <v/>
      </c>
      <c r="J104" s="23"/>
      <c r="K104" s="23" t="str">
        <f t="shared" si="59"/>
        <v/>
      </c>
      <c r="L104" s="23" t="str">
        <f t="shared" si="60"/>
        <v/>
      </c>
      <c r="M104" s="23" t="str">
        <f t="shared" si="61"/>
        <v/>
      </c>
      <c r="N104" s="24" t="str">
        <f t="shared" si="62"/>
        <v/>
      </c>
      <c r="O104" s="25"/>
      <c r="P104" s="26"/>
      <c r="Q104" s="27"/>
    </row>
    <row r="105" spans="1:17" ht="20.100000000000001" customHeight="1" x14ac:dyDescent="0.35">
      <c r="A105" s="28"/>
      <c r="B105" s="28"/>
      <c r="C105" s="30"/>
      <c r="D105" s="22" t="e">
        <f t="shared" si="54"/>
        <v>#VALUE!</v>
      </c>
      <c r="E105" s="23" t="e">
        <f t="shared" si="55"/>
        <v>#VALUE!</v>
      </c>
      <c r="F105" s="23"/>
      <c r="G105" s="23" t="str">
        <f t="shared" si="56"/>
        <v/>
      </c>
      <c r="H105" s="23" t="str">
        <f t="shared" si="57"/>
        <v/>
      </c>
      <c r="I105" s="23" t="str">
        <f t="shared" si="58"/>
        <v/>
      </c>
      <c r="J105" s="23"/>
      <c r="K105" s="23" t="str">
        <f t="shared" si="59"/>
        <v/>
      </c>
      <c r="L105" s="23" t="str">
        <f t="shared" si="60"/>
        <v/>
      </c>
      <c r="M105" s="23" t="str">
        <f t="shared" si="61"/>
        <v/>
      </c>
      <c r="N105" s="24" t="str">
        <f t="shared" si="62"/>
        <v/>
      </c>
      <c r="O105" s="25"/>
      <c r="P105" s="26"/>
      <c r="Q105" s="27"/>
    </row>
    <row r="106" spans="1:17" ht="20.100000000000001" customHeight="1" x14ac:dyDescent="0.35">
      <c r="A106" s="28"/>
      <c r="B106" s="28"/>
      <c r="C106" s="30"/>
      <c r="D106" s="22" t="e">
        <f t="shared" si="54"/>
        <v>#VALUE!</v>
      </c>
      <c r="E106" s="23" t="e">
        <f t="shared" si="55"/>
        <v>#VALUE!</v>
      </c>
      <c r="F106" s="23"/>
      <c r="G106" s="23" t="str">
        <f t="shared" si="56"/>
        <v/>
      </c>
      <c r="H106" s="23" t="str">
        <f t="shared" si="57"/>
        <v/>
      </c>
      <c r="I106" s="23" t="str">
        <f t="shared" si="58"/>
        <v/>
      </c>
      <c r="J106" s="23"/>
      <c r="K106" s="23" t="str">
        <f t="shared" si="59"/>
        <v/>
      </c>
      <c r="L106" s="23" t="str">
        <f t="shared" si="60"/>
        <v/>
      </c>
      <c r="M106" s="23" t="str">
        <f t="shared" si="61"/>
        <v/>
      </c>
      <c r="N106" s="24" t="str">
        <f t="shared" si="62"/>
        <v/>
      </c>
      <c r="O106" s="25"/>
      <c r="P106" s="26"/>
      <c r="Q106" s="27"/>
    </row>
    <row r="107" spans="1:17" ht="20.100000000000001" customHeight="1" x14ac:dyDescent="0.35">
      <c r="A107" s="28"/>
      <c r="B107" s="28"/>
      <c r="C107" s="30"/>
      <c r="D107" s="22" t="e">
        <f t="shared" si="54"/>
        <v>#VALUE!</v>
      </c>
      <c r="E107" s="23" t="e">
        <f t="shared" si="55"/>
        <v>#VALUE!</v>
      </c>
      <c r="F107" s="23"/>
      <c r="G107" s="23" t="str">
        <f t="shared" si="56"/>
        <v/>
      </c>
      <c r="H107" s="23" t="str">
        <f t="shared" si="57"/>
        <v/>
      </c>
      <c r="I107" s="23" t="str">
        <f t="shared" si="58"/>
        <v/>
      </c>
      <c r="J107" s="23"/>
      <c r="K107" s="23" t="str">
        <f t="shared" si="59"/>
        <v/>
      </c>
      <c r="L107" s="23" t="str">
        <f t="shared" si="60"/>
        <v/>
      </c>
      <c r="M107" s="23" t="str">
        <f t="shared" si="61"/>
        <v/>
      </c>
      <c r="N107" s="24" t="str">
        <f t="shared" si="62"/>
        <v/>
      </c>
      <c r="O107" s="25"/>
      <c r="P107" s="26"/>
      <c r="Q107" s="27"/>
    </row>
    <row r="108" spans="1:17" ht="20.100000000000001" customHeight="1" x14ac:dyDescent="0.35">
      <c r="A108" s="16"/>
      <c r="B108" s="16"/>
      <c r="C108" s="30"/>
      <c r="D108" s="22" t="e">
        <f t="shared" si="54"/>
        <v>#VALUE!</v>
      </c>
      <c r="E108" s="23" t="e">
        <f t="shared" si="55"/>
        <v>#VALUE!</v>
      </c>
      <c r="F108" s="23"/>
      <c r="G108" s="23" t="str">
        <f t="shared" si="56"/>
        <v/>
      </c>
      <c r="H108" s="23" t="str">
        <f t="shared" si="57"/>
        <v/>
      </c>
      <c r="I108" s="23" t="str">
        <f t="shared" si="58"/>
        <v/>
      </c>
      <c r="J108" s="23"/>
      <c r="K108" s="23" t="str">
        <f t="shared" si="59"/>
        <v/>
      </c>
      <c r="L108" s="23" t="str">
        <f t="shared" si="60"/>
        <v/>
      </c>
      <c r="M108" s="23" t="str">
        <f t="shared" si="61"/>
        <v/>
      </c>
      <c r="N108" s="24" t="str">
        <f t="shared" si="62"/>
        <v/>
      </c>
      <c r="O108" s="25"/>
      <c r="P108" s="26"/>
      <c r="Q108" s="27"/>
    </row>
    <row r="109" spans="1:17" ht="20.100000000000001" customHeight="1" x14ac:dyDescent="0.35">
      <c r="A109" s="16"/>
      <c r="B109" s="16"/>
      <c r="C109" s="30"/>
      <c r="D109" s="22" t="e">
        <f t="shared" si="54"/>
        <v>#VALUE!</v>
      </c>
      <c r="E109" s="23" t="e">
        <f t="shared" si="55"/>
        <v>#VALUE!</v>
      </c>
      <c r="F109" s="23"/>
      <c r="G109" s="23" t="str">
        <f t="shared" si="56"/>
        <v/>
      </c>
      <c r="H109" s="23" t="str">
        <f t="shared" si="57"/>
        <v/>
      </c>
      <c r="I109" s="23" t="str">
        <f t="shared" si="58"/>
        <v/>
      </c>
      <c r="J109" s="23"/>
      <c r="K109" s="23" t="str">
        <f t="shared" si="59"/>
        <v/>
      </c>
      <c r="L109" s="23" t="str">
        <f t="shared" si="60"/>
        <v/>
      </c>
      <c r="M109" s="23" t="str">
        <f t="shared" si="61"/>
        <v/>
      </c>
      <c r="N109" s="24" t="str">
        <f t="shared" si="62"/>
        <v/>
      </c>
      <c r="O109" s="25"/>
      <c r="P109" s="26"/>
      <c r="Q109" s="27"/>
    </row>
    <row r="110" spans="1:17" ht="20.100000000000001" customHeight="1" x14ac:dyDescent="0.35">
      <c r="A110" s="16"/>
      <c r="B110" s="16"/>
      <c r="C110" s="30"/>
      <c r="D110" s="22" t="e">
        <f t="shared" si="54"/>
        <v>#VALUE!</v>
      </c>
      <c r="E110" s="23" t="e">
        <f t="shared" si="55"/>
        <v>#VALUE!</v>
      </c>
      <c r="F110" s="23"/>
      <c r="G110" s="23" t="str">
        <f t="shared" si="56"/>
        <v/>
      </c>
      <c r="H110" s="23" t="str">
        <f t="shared" si="57"/>
        <v/>
      </c>
      <c r="I110" s="23" t="str">
        <f t="shared" si="58"/>
        <v/>
      </c>
      <c r="J110" s="23"/>
      <c r="K110" s="23" t="str">
        <f t="shared" si="59"/>
        <v/>
      </c>
      <c r="L110" s="23" t="str">
        <f t="shared" si="60"/>
        <v/>
      </c>
      <c r="M110" s="23" t="str">
        <f t="shared" si="61"/>
        <v/>
      </c>
      <c r="N110" s="24" t="str">
        <f t="shared" si="62"/>
        <v/>
      </c>
      <c r="O110" s="25"/>
      <c r="P110" s="26"/>
      <c r="Q110" s="27"/>
    </row>
    <row r="111" spans="1:17" ht="20.100000000000001" customHeight="1" x14ac:dyDescent="0.35">
      <c r="A111" s="14"/>
      <c r="B111" s="14"/>
      <c r="C111" s="30"/>
      <c r="D111" s="8" t="e">
        <f t="shared" si="54"/>
        <v>#VALUE!</v>
      </c>
      <c r="E111" s="6" t="e">
        <f t="shared" si="55"/>
        <v>#VALUE!</v>
      </c>
      <c r="F111" s="6"/>
      <c r="G111" s="6" t="str">
        <f t="shared" si="56"/>
        <v/>
      </c>
      <c r="H111" s="6" t="str">
        <f t="shared" si="57"/>
        <v/>
      </c>
      <c r="I111" s="6" t="str">
        <f t="shared" si="58"/>
        <v/>
      </c>
      <c r="J111" s="6"/>
      <c r="K111" s="6" t="str">
        <f t="shared" si="59"/>
        <v/>
      </c>
      <c r="L111" s="6" t="str">
        <f t="shared" si="60"/>
        <v/>
      </c>
      <c r="M111" s="6" t="str">
        <f t="shared" si="61"/>
        <v/>
      </c>
      <c r="N111" s="3" t="str">
        <f t="shared" si="62"/>
        <v/>
      </c>
      <c r="O111" s="14"/>
      <c r="P111" s="15"/>
      <c r="Q111" s="7"/>
    </row>
    <row r="112" spans="1:17" ht="20.100000000000001" customHeight="1" x14ac:dyDescent="0.35">
      <c r="A112" s="14"/>
      <c r="B112" s="14"/>
      <c r="C112" s="30"/>
      <c r="D112" s="8" t="e">
        <f t="shared" si="54"/>
        <v>#VALUE!</v>
      </c>
      <c r="E112" s="6" t="e">
        <f t="shared" si="55"/>
        <v>#VALUE!</v>
      </c>
      <c r="F112" s="6"/>
      <c r="G112" s="6" t="str">
        <f t="shared" si="56"/>
        <v/>
      </c>
      <c r="H112" s="6" t="str">
        <f t="shared" si="57"/>
        <v/>
      </c>
      <c r="I112" s="6" t="str">
        <f t="shared" si="58"/>
        <v/>
      </c>
      <c r="J112" s="6"/>
      <c r="K112" s="6" t="str">
        <f t="shared" si="59"/>
        <v/>
      </c>
      <c r="L112" s="6" t="str">
        <f t="shared" si="60"/>
        <v/>
      </c>
      <c r="M112" s="6" t="str">
        <f t="shared" si="61"/>
        <v/>
      </c>
      <c r="N112" s="3" t="str">
        <f t="shared" si="62"/>
        <v/>
      </c>
      <c r="O112" s="14"/>
      <c r="P112" s="15"/>
      <c r="Q112" s="7"/>
    </row>
    <row r="113" spans="1:17" ht="20.100000000000001" customHeight="1" x14ac:dyDescent="0.35">
      <c r="A113" s="14"/>
      <c r="B113" s="14"/>
      <c r="C113" s="30"/>
      <c r="D113" s="8" t="e">
        <f t="shared" si="54"/>
        <v>#VALUE!</v>
      </c>
      <c r="E113" s="6" t="e">
        <f t="shared" si="55"/>
        <v>#VALUE!</v>
      </c>
      <c r="F113" s="6"/>
      <c r="G113" s="6" t="str">
        <f t="shared" si="56"/>
        <v/>
      </c>
      <c r="H113" s="6" t="str">
        <f t="shared" si="57"/>
        <v/>
      </c>
      <c r="I113" s="6" t="str">
        <f t="shared" si="58"/>
        <v/>
      </c>
      <c r="J113" s="6"/>
      <c r="K113" s="6" t="str">
        <f t="shared" si="59"/>
        <v/>
      </c>
      <c r="L113" s="6" t="str">
        <f t="shared" si="60"/>
        <v/>
      </c>
      <c r="M113" s="6" t="str">
        <f t="shared" si="61"/>
        <v/>
      </c>
      <c r="N113" s="3" t="str">
        <f t="shared" si="62"/>
        <v/>
      </c>
      <c r="O113" s="14"/>
      <c r="P113" s="15"/>
      <c r="Q113" s="7"/>
    </row>
    <row r="114" spans="1:17" ht="20.100000000000001" customHeight="1" x14ac:dyDescent="0.35">
      <c r="A114" s="14"/>
      <c r="B114" s="14"/>
      <c r="C114" s="30"/>
      <c r="D114" s="8" t="e">
        <f t="shared" si="54"/>
        <v>#VALUE!</v>
      </c>
      <c r="E114" s="6" t="e">
        <f t="shared" si="55"/>
        <v>#VALUE!</v>
      </c>
      <c r="F114" s="6"/>
      <c r="G114" s="6" t="str">
        <f t="shared" si="56"/>
        <v/>
      </c>
      <c r="H114" s="6" t="str">
        <f t="shared" si="57"/>
        <v/>
      </c>
      <c r="I114" s="6" t="str">
        <f t="shared" si="58"/>
        <v/>
      </c>
      <c r="J114" s="6"/>
      <c r="K114" s="6" t="str">
        <f t="shared" si="59"/>
        <v/>
      </c>
      <c r="L114" s="6" t="str">
        <f t="shared" si="60"/>
        <v/>
      </c>
      <c r="M114" s="6" t="str">
        <f t="shared" si="61"/>
        <v/>
      </c>
      <c r="N114" s="3" t="str">
        <f t="shared" si="62"/>
        <v/>
      </c>
      <c r="O114" s="14"/>
      <c r="P114" s="15"/>
      <c r="Q114" s="7"/>
    </row>
    <row r="115" spans="1:17" ht="20.100000000000001" customHeight="1" x14ac:dyDescent="0.25">
      <c r="C115" s="31" t="str">
        <f>COUNTIF(E103:E114, "RC") + COUNTIF(E103:E114, "RI") +  COUNTIF(E103:E114, "AC") + COUNTIF(E103:E114, "RR") + COUNTIF(E103:E114, "RU") + COUNTIF(E103:E114, "GR") + COUNTIF(E103:E114, "RP") + COUNTIF(E103:E114, "GC") + COUNTIF(E103:E114, "RB") &amp; " ROLOS (" &amp;
IF(COUNTIF(E103:E114, "RC") &gt; 0, COUNTIF(E103:E114, "RC") &amp; " RC; ", "") &amp;
IF(COUNTIF(E103:E114, "RI") &gt; 0, COUNTIF(E103:E114, "RI") &amp; " RI; ", "") &amp;
IF(COUNTIF(E103:E114, "RR") &gt; 0, COUNTIF(E103:E114, "RR") &amp; " RR; ", "") &amp;
IF(COUNTIF(E103:E114, "RU") &gt; 0, COUNTIF(E103:E114, "RU") &amp; " RU; ", "") &amp;
IF(COUNTIF(E103:E114, "GR") &gt; 0, COUNTIF(E103:E114, "GR") &amp; " GR; ", "") &amp;
IF(COUNTIF(E103:E114, "RP") &gt; 0, COUNTIF(E103:E114, "RP") &amp; " RP; ", "") &amp;
IF(COUNTIF(E103:E114, "GC") &gt; 0, COUNTIF(E103:E114, "GC") &amp; " GC; ", "") &amp;
IF(COUNTIF(E103:E114, "RB") &gt; 0, COUNTIF(E103:E114, "RB") &amp; " RB", "") &amp;
IF(COUNTIF(E103:E114, "AC") &gt; 0, COUNTIF(E103:E114, "AC") &amp; "AC", "")
&amp;")"</f>
        <v>0 ROLOS ()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3"/>
    </row>
    <row r="116" spans="1:17" ht="20.100000000000001" customHeight="1" x14ac:dyDescent="0.25"/>
    <row r="117" spans="1:17" ht="20.100000000000001" customHeight="1" x14ac:dyDescent="0.4">
      <c r="A117" s="21" t="s">
        <v>15</v>
      </c>
      <c r="B117" s="21" t="s">
        <v>19</v>
      </c>
      <c r="C117" s="34" t="s">
        <v>18</v>
      </c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 ht="20.100000000000001" customHeight="1" x14ac:dyDescent="0.35">
      <c r="A118" s="4"/>
      <c r="B118" s="4"/>
      <c r="C118" s="35"/>
      <c r="D118" s="36"/>
      <c r="E118" s="37"/>
      <c r="F118" s="10"/>
      <c r="G118" s="38" t="s">
        <v>0</v>
      </c>
      <c r="H118" s="39"/>
      <c r="I118" s="40"/>
      <c r="J118" s="10"/>
      <c r="K118" s="41" t="s">
        <v>1</v>
      </c>
      <c r="L118" s="42"/>
      <c r="M118" s="43"/>
      <c r="N118" s="11"/>
      <c r="O118" s="11"/>
      <c r="P118" s="11"/>
      <c r="Q118" s="11"/>
    </row>
    <row r="119" spans="1:17" ht="20.100000000000001" customHeight="1" x14ac:dyDescent="0.3">
      <c r="A119" s="5"/>
      <c r="B119" s="5"/>
      <c r="C119" s="1" t="s">
        <v>6</v>
      </c>
      <c r="D119" s="9" t="s">
        <v>7</v>
      </c>
      <c r="E119" s="1" t="s">
        <v>8</v>
      </c>
      <c r="F119" s="2" t="s">
        <v>16</v>
      </c>
      <c r="G119" s="12" t="s">
        <v>9</v>
      </c>
      <c r="H119" s="12" t="s">
        <v>10</v>
      </c>
      <c r="I119" s="12" t="s">
        <v>11</v>
      </c>
      <c r="J119" s="2" t="s">
        <v>17</v>
      </c>
      <c r="K119" s="13" t="s">
        <v>12</v>
      </c>
      <c r="L119" s="13" t="s">
        <v>13</v>
      </c>
      <c r="M119" s="13" t="s">
        <v>14</v>
      </c>
      <c r="N119" s="11" t="s">
        <v>2</v>
      </c>
      <c r="O119" s="11" t="s">
        <v>3</v>
      </c>
      <c r="P119" s="11" t="s">
        <v>4</v>
      </c>
      <c r="Q119" s="11" t="s">
        <v>5</v>
      </c>
    </row>
    <row r="120" spans="1:17" ht="20.100000000000001" customHeight="1" x14ac:dyDescent="0.35">
      <c r="A120" s="28"/>
      <c r="B120" s="28"/>
      <c r="C120" s="29" t="s">
        <v>27</v>
      </c>
      <c r="D120" s="17" t="e">
        <f t="shared" ref="D120:D131" si="63">LEFT(B120, FIND("-", B120)-1)</f>
        <v>#VALUE!</v>
      </c>
      <c r="E120" s="18" t="e">
        <f t="shared" ref="E120:E131" si="64">MID(B120, FIND("-", B120)+1, FIND("-", B120, FIND("-", B120)+1)-FIND("-", B120)-1)</f>
        <v>#VALUE!</v>
      </c>
      <c r="F120" s="18"/>
      <c r="G120" s="18" t="str">
        <f t="shared" ref="G120:G131" si="65">IF(ISERROR(FIND("-D-", B120)), "", "X")</f>
        <v/>
      </c>
      <c r="H120" s="18" t="str">
        <f t="shared" ref="H120:H131" si="66">IF(ISERROR(FIND("-C-", B120)), "", "X")</f>
        <v/>
      </c>
      <c r="I120" s="18" t="str">
        <f t="shared" ref="I120:I131" si="67">IF(ISERROR(FIND("-E-", B120)), "", "X")</f>
        <v/>
      </c>
      <c r="J120" s="18"/>
      <c r="K120" s="18" t="str">
        <f t="shared" ref="K120:K131" si="68">IF(ISERROR(FIND("P1", A120)), "", "X")</f>
        <v/>
      </c>
      <c r="L120" s="18" t="str">
        <f t="shared" ref="L120:L131" si="69">IF(ISERROR(FIND("P2", A120)), "", "X")</f>
        <v/>
      </c>
      <c r="M120" s="18" t="str">
        <f t="shared" ref="M120:M131" si="70">IF(ISERROR(FIND("P3", A120)), "", "X")</f>
        <v/>
      </c>
      <c r="N120" s="3" t="str">
        <f t="shared" ref="N120:N131" si="71">IF(ISERROR(FIND("RO", B120)),
    IF(ISERROR(FIND("CD", B120)),
        IF(ISERROR(FIND("CG", B120)),
            IF(ISERROR(FIND("AG", B120)),
                IF(ISERROR(FIND("RT", B120)),
                    IF(ISERROR(FIND("RF", B120)),
                        IF(ISERROR(FIND("AM", B120)),
                            IF(ISERROR(FIND("RP", B120)),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120" s="16"/>
      <c r="P120" s="19"/>
      <c r="Q120" s="20"/>
    </row>
    <row r="121" spans="1:17" ht="20.100000000000001" customHeight="1" x14ac:dyDescent="0.35">
      <c r="A121" s="28"/>
      <c r="B121" s="28"/>
      <c r="C121" s="30"/>
      <c r="D121" s="22" t="e">
        <f t="shared" si="63"/>
        <v>#VALUE!</v>
      </c>
      <c r="E121" s="23" t="e">
        <f t="shared" si="64"/>
        <v>#VALUE!</v>
      </c>
      <c r="F121" s="23"/>
      <c r="G121" s="23" t="str">
        <f t="shared" si="65"/>
        <v/>
      </c>
      <c r="H121" s="23" t="str">
        <f t="shared" si="66"/>
        <v/>
      </c>
      <c r="I121" s="23" t="str">
        <f t="shared" si="67"/>
        <v/>
      </c>
      <c r="J121" s="23"/>
      <c r="K121" s="23" t="str">
        <f t="shared" si="68"/>
        <v/>
      </c>
      <c r="L121" s="23" t="str">
        <f t="shared" si="69"/>
        <v/>
      </c>
      <c r="M121" s="23" t="str">
        <f t="shared" si="70"/>
        <v/>
      </c>
      <c r="N121" s="24" t="str">
        <f t="shared" si="71"/>
        <v/>
      </c>
      <c r="O121" s="25"/>
      <c r="P121" s="26"/>
      <c r="Q121" s="27"/>
    </row>
    <row r="122" spans="1:17" ht="20.100000000000001" customHeight="1" x14ac:dyDescent="0.35">
      <c r="A122" s="28"/>
      <c r="B122" s="28"/>
      <c r="C122" s="30"/>
      <c r="D122" s="22" t="e">
        <f t="shared" si="63"/>
        <v>#VALUE!</v>
      </c>
      <c r="E122" s="23" t="e">
        <f t="shared" si="64"/>
        <v>#VALUE!</v>
      </c>
      <c r="F122" s="23"/>
      <c r="G122" s="23" t="str">
        <f t="shared" si="65"/>
        <v/>
      </c>
      <c r="H122" s="23" t="str">
        <f t="shared" si="66"/>
        <v/>
      </c>
      <c r="I122" s="23" t="str">
        <f t="shared" si="67"/>
        <v/>
      </c>
      <c r="J122" s="23"/>
      <c r="K122" s="23" t="str">
        <f t="shared" si="68"/>
        <v/>
      </c>
      <c r="L122" s="23" t="str">
        <f t="shared" si="69"/>
        <v/>
      </c>
      <c r="M122" s="23" t="str">
        <f t="shared" si="70"/>
        <v/>
      </c>
      <c r="N122" s="24" t="str">
        <f t="shared" si="71"/>
        <v/>
      </c>
      <c r="O122" s="25"/>
      <c r="P122" s="26"/>
      <c r="Q122" s="27"/>
    </row>
    <row r="123" spans="1:17" ht="20.100000000000001" customHeight="1" x14ac:dyDescent="0.35">
      <c r="A123" s="28"/>
      <c r="B123" s="28"/>
      <c r="C123" s="30"/>
      <c r="D123" s="22" t="e">
        <f t="shared" si="63"/>
        <v>#VALUE!</v>
      </c>
      <c r="E123" s="23" t="e">
        <f t="shared" si="64"/>
        <v>#VALUE!</v>
      </c>
      <c r="F123" s="23"/>
      <c r="G123" s="23" t="str">
        <f t="shared" si="65"/>
        <v/>
      </c>
      <c r="H123" s="23" t="str">
        <f t="shared" si="66"/>
        <v/>
      </c>
      <c r="I123" s="23" t="str">
        <f t="shared" si="67"/>
        <v/>
      </c>
      <c r="J123" s="23"/>
      <c r="K123" s="23" t="str">
        <f t="shared" si="68"/>
        <v/>
      </c>
      <c r="L123" s="23" t="str">
        <f t="shared" si="69"/>
        <v/>
      </c>
      <c r="M123" s="23" t="str">
        <f t="shared" si="70"/>
        <v/>
      </c>
      <c r="N123" s="24" t="str">
        <f t="shared" si="71"/>
        <v/>
      </c>
      <c r="O123" s="25"/>
      <c r="P123" s="26"/>
      <c r="Q123" s="27"/>
    </row>
    <row r="124" spans="1:17" ht="20.100000000000001" customHeight="1" x14ac:dyDescent="0.35">
      <c r="A124" s="28"/>
      <c r="B124" s="28"/>
      <c r="C124" s="30"/>
      <c r="D124" s="22" t="e">
        <f t="shared" si="63"/>
        <v>#VALUE!</v>
      </c>
      <c r="E124" s="23" t="e">
        <f t="shared" si="64"/>
        <v>#VALUE!</v>
      </c>
      <c r="F124" s="23"/>
      <c r="G124" s="23" t="str">
        <f t="shared" si="65"/>
        <v/>
      </c>
      <c r="H124" s="23" t="str">
        <f t="shared" si="66"/>
        <v/>
      </c>
      <c r="I124" s="23" t="str">
        <f t="shared" si="67"/>
        <v/>
      </c>
      <c r="J124" s="23"/>
      <c r="K124" s="23" t="str">
        <f t="shared" si="68"/>
        <v/>
      </c>
      <c r="L124" s="23" t="str">
        <f t="shared" si="69"/>
        <v/>
      </c>
      <c r="M124" s="23" t="str">
        <f t="shared" si="70"/>
        <v/>
      </c>
      <c r="N124" s="24" t="str">
        <f t="shared" si="71"/>
        <v/>
      </c>
      <c r="O124" s="25"/>
      <c r="P124" s="26"/>
      <c r="Q124" s="27"/>
    </row>
    <row r="125" spans="1:17" ht="20.100000000000001" customHeight="1" x14ac:dyDescent="0.35">
      <c r="A125" s="16"/>
      <c r="B125" s="16"/>
      <c r="C125" s="30"/>
      <c r="D125" s="22" t="e">
        <f t="shared" si="63"/>
        <v>#VALUE!</v>
      </c>
      <c r="E125" s="23" t="e">
        <f t="shared" si="64"/>
        <v>#VALUE!</v>
      </c>
      <c r="F125" s="23"/>
      <c r="G125" s="23" t="str">
        <f t="shared" si="65"/>
        <v/>
      </c>
      <c r="H125" s="23" t="str">
        <f t="shared" si="66"/>
        <v/>
      </c>
      <c r="I125" s="23" t="str">
        <f t="shared" si="67"/>
        <v/>
      </c>
      <c r="J125" s="23"/>
      <c r="K125" s="23" t="str">
        <f t="shared" si="68"/>
        <v/>
      </c>
      <c r="L125" s="23" t="str">
        <f t="shared" si="69"/>
        <v/>
      </c>
      <c r="M125" s="23" t="str">
        <f t="shared" si="70"/>
        <v/>
      </c>
      <c r="N125" s="24" t="str">
        <f t="shared" si="71"/>
        <v/>
      </c>
      <c r="O125" s="25"/>
      <c r="P125" s="26"/>
      <c r="Q125" s="27"/>
    </row>
    <row r="126" spans="1:17" ht="20.100000000000001" customHeight="1" x14ac:dyDescent="0.35">
      <c r="A126" s="16"/>
      <c r="B126" s="16"/>
      <c r="C126" s="30"/>
      <c r="D126" s="22" t="e">
        <f t="shared" si="63"/>
        <v>#VALUE!</v>
      </c>
      <c r="E126" s="23" t="e">
        <f t="shared" si="64"/>
        <v>#VALUE!</v>
      </c>
      <c r="F126" s="23"/>
      <c r="G126" s="23" t="str">
        <f t="shared" si="65"/>
        <v/>
      </c>
      <c r="H126" s="23" t="str">
        <f t="shared" si="66"/>
        <v/>
      </c>
      <c r="I126" s="23" t="str">
        <f t="shared" si="67"/>
        <v/>
      </c>
      <c r="J126" s="23"/>
      <c r="K126" s="23" t="str">
        <f t="shared" si="68"/>
        <v/>
      </c>
      <c r="L126" s="23" t="str">
        <f t="shared" si="69"/>
        <v/>
      </c>
      <c r="M126" s="23" t="str">
        <f t="shared" si="70"/>
        <v/>
      </c>
      <c r="N126" s="24" t="str">
        <f t="shared" si="71"/>
        <v/>
      </c>
      <c r="O126" s="25"/>
      <c r="P126" s="26"/>
      <c r="Q126" s="27"/>
    </row>
    <row r="127" spans="1:17" ht="20.100000000000001" customHeight="1" x14ac:dyDescent="0.35">
      <c r="A127" s="16"/>
      <c r="B127" s="16"/>
      <c r="C127" s="30"/>
      <c r="D127" s="22" t="e">
        <f t="shared" si="63"/>
        <v>#VALUE!</v>
      </c>
      <c r="E127" s="23" t="e">
        <f t="shared" si="64"/>
        <v>#VALUE!</v>
      </c>
      <c r="F127" s="23"/>
      <c r="G127" s="23" t="str">
        <f t="shared" si="65"/>
        <v/>
      </c>
      <c r="H127" s="23" t="str">
        <f t="shared" si="66"/>
        <v/>
      </c>
      <c r="I127" s="23" t="str">
        <f t="shared" si="67"/>
        <v/>
      </c>
      <c r="J127" s="23"/>
      <c r="K127" s="23" t="str">
        <f t="shared" si="68"/>
        <v/>
      </c>
      <c r="L127" s="23" t="str">
        <f t="shared" si="69"/>
        <v/>
      </c>
      <c r="M127" s="23" t="str">
        <f t="shared" si="70"/>
        <v/>
      </c>
      <c r="N127" s="24" t="str">
        <f t="shared" si="71"/>
        <v/>
      </c>
      <c r="O127" s="25"/>
      <c r="P127" s="26"/>
      <c r="Q127" s="27"/>
    </row>
    <row r="128" spans="1:17" ht="20.100000000000001" customHeight="1" x14ac:dyDescent="0.35">
      <c r="A128" s="14"/>
      <c r="B128" s="14"/>
      <c r="C128" s="30"/>
      <c r="D128" s="8" t="e">
        <f t="shared" si="63"/>
        <v>#VALUE!</v>
      </c>
      <c r="E128" s="6" t="e">
        <f t="shared" si="64"/>
        <v>#VALUE!</v>
      </c>
      <c r="F128" s="6"/>
      <c r="G128" s="6" t="str">
        <f t="shared" si="65"/>
        <v/>
      </c>
      <c r="H128" s="6" t="str">
        <f t="shared" si="66"/>
        <v/>
      </c>
      <c r="I128" s="6" t="str">
        <f t="shared" si="67"/>
        <v/>
      </c>
      <c r="J128" s="6"/>
      <c r="K128" s="6" t="str">
        <f t="shared" si="68"/>
        <v/>
      </c>
      <c r="L128" s="6" t="str">
        <f t="shared" si="69"/>
        <v/>
      </c>
      <c r="M128" s="6" t="str">
        <f t="shared" si="70"/>
        <v/>
      </c>
      <c r="N128" s="3" t="str">
        <f t="shared" si="71"/>
        <v/>
      </c>
      <c r="O128" s="14"/>
      <c r="P128" s="15"/>
      <c r="Q128" s="7"/>
    </row>
    <row r="129" spans="1:17" ht="20.100000000000001" customHeight="1" x14ac:dyDescent="0.35">
      <c r="A129" s="14"/>
      <c r="B129" s="14"/>
      <c r="C129" s="30"/>
      <c r="D129" s="8" t="e">
        <f t="shared" si="63"/>
        <v>#VALUE!</v>
      </c>
      <c r="E129" s="6" t="e">
        <f t="shared" si="64"/>
        <v>#VALUE!</v>
      </c>
      <c r="F129" s="6"/>
      <c r="G129" s="6" t="str">
        <f t="shared" si="65"/>
        <v/>
      </c>
      <c r="H129" s="6" t="str">
        <f t="shared" si="66"/>
        <v/>
      </c>
      <c r="I129" s="6" t="str">
        <f t="shared" si="67"/>
        <v/>
      </c>
      <c r="J129" s="6"/>
      <c r="K129" s="6" t="str">
        <f t="shared" si="68"/>
        <v/>
      </c>
      <c r="L129" s="6" t="str">
        <f t="shared" si="69"/>
        <v/>
      </c>
      <c r="M129" s="6" t="str">
        <f t="shared" si="70"/>
        <v/>
      </c>
      <c r="N129" s="3" t="str">
        <f t="shared" si="71"/>
        <v/>
      </c>
      <c r="O129" s="14"/>
      <c r="P129" s="15"/>
      <c r="Q129" s="7"/>
    </row>
    <row r="130" spans="1:17" ht="20.100000000000001" customHeight="1" x14ac:dyDescent="0.35">
      <c r="A130" s="14"/>
      <c r="B130" s="14"/>
      <c r="C130" s="30"/>
      <c r="D130" s="8" t="e">
        <f t="shared" si="63"/>
        <v>#VALUE!</v>
      </c>
      <c r="E130" s="6" t="e">
        <f t="shared" si="64"/>
        <v>#VALUE!</v>
      </c>
      <c r="F130" s="6"/>
      <c r="G130" s="6" t="str">
        <f t="shared" si="65"/>
        <v/>
      </c>
      <c r="H130" s="6" t="str">
        <f t="shared" si="66"/>
        <v/>
      </c>
      <c r="I130" s="6" t="str">
        <f t="shared" si="67"/>
        <v/>
      </c>
      <c r="J130" s="6"/>
      <c r="K130" s="6" t="str">
        <f t="shared" si="68"/>
        <v/>
      </c>
      <c r="L130" s="6" t="str">
        <f t="shared" si="69"/>
        <v/>
      </c>
      <c r="M130" s="6" t="str">
        <f t="shared" si="70"/>
        <v/>
      </c>
      <c r="N130" s="3" t="str">
        <f t="shared" si="71"/>
        <v/>
      </c>
      <c r="O130" s="14"/>
      <c r="P130" s="15"/>
      <c r="Q130" s="7"/>
    </row>
    <row r="131" spans="1:17" ht="20.100000000000001" customHeight="1" x14ac:dyDescent="0.35">
      <c r="A131" s="14"/>
      <c r="B131" s="14"/>
      <c r="C131" s="30"/>
      <c r="D131" s="8" t="e">
        <f t="shared" si="63"/>
        <v>#VALUE!</v>
      </c>
      <c r="E131" s="6" t="e">
        <f t="shared" si="64"/>
        <v>#VALUE!</v>
      </c>
      <c r="F131" s="6"/>
      <c r="G131" s="6" t="str">
        <f t="shared" si="65"/>
        <v/>
      </c>
      <c r="H131" s="6" t="str">
        <f t="shared" si="66"/>
        <v/>
      </c>
      <c r="I131" s="6" t="str">
        <f t="shared" si="67"/>
        <v/>
      </c>
      <c r="J131" s="6"/>
      <c r="K131" s="6" t="str">
        <f t="shared" si="68"/>
        <v/>
      </c>
      <c r="L131" s="6" t="str">
        <f t="shared" si="69"/>
        <v/>
      </c>
      <c r="M131" s="6" t="str">
        <f t="shared" si="70"/>
        <v/>
      </c>
      <c r="N131" s="3" t="str">
        <f t="shared" si="71"/>
        <v/>
      </c>
      <c r="O131" s="14"/>
      <c r="P131" s="15"/>
      <c r="Q131" s="7"/>
    </row>
    <row r="132" spans="1:17" ht="20.100000000000001" customHeight="1" x14ac:dyDescent="0.25">
      <c r="C132" s="31" t="str">
        <f>COUNTIF(E120:E131, "RC") + COUNTIF(E120:E131, "RI") +  COUNTIF(E120:E131, "AC") + COUNTIF(E120:E131, "RR") + COUNTIF(E120:E131, "RU") + COUNTIF(E120:E131, "GR") + COUNTIF(E120:E131, "RP") + COUNTIF(E120:E131, "GC") + COUNTIF(E120:E131, "RB") &amp; " ROLOS (" &amp;
IF(COUNTIF(E120:E131, "RC") &gt; 0, COUNTIF(E120:E131, "RC") &amp; " RC; ", "") &amp;
IF(COUNTIF(E120:E131, "RI") &gt; 0, COUNTIF(E120:E131, "RI") &amp; " RI; ", "") &amp;
IF(COUNTIF(E120:E131, "RR") &gt; 0, COUNTIF(E120:E131, "RR") &amp; " RR; ", "") &amp;
IF(COUNTIF(E120:E131, "RU") &gt; 0, COUNTIF(E120:E131, "RU") &amp; " RU; ", "") &amp;
IF(COUNTIF(E120:E131, "GR") &gt; 0, COUNTIF(E120:E131, "GR") &amp; " GR; ", "") &amp;
IF(COUNTIF(E120:E131, "RP") &gt; 0, COUNTIF(E120:E131, "RP") &amp; " RP; ", "") &amp;
IF(COUNTIF(E120:E131, "GC") &gt; 0, COUNTIF(E120:E131, "GC") &amp; " GC; ", "") &amp;
IF(COUNTIF(E120:E131, "RB") &gt; 0, COUNTIF(E120:E131, "RB") &amp; " RB", "") &amp;
IF(COUNTIF(E120:E131, "AC") &gt; 0, COUNTIF(E120:E131, "AC") &amp; "AC", "")
&amp;")"</f>
        <v>0 ROLOS ()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3"/>
    </row>
    <row r="134" spans="1:17" ht="26.25" x14ac:dyDescent="0.4">
      <c r="A134" s="21" t="s">
        <v>15</v>
      </c>
      <c r="B134" s="21" t="s">
        <v>19</v>
      </c>
      <c r="C134" s="34" t="s">
        <v>18</v>
      </c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 spans="1:17" ht="21" x14ac:dyDescent="0.35">
      <c r="A135" s="4"/>
      <c r="B135" s="4"/>
      <c r="C135" s="35"/>
      <c r="D135" s="36"/>
      <c r="E135" s="37"/>
      <c r="F135" s="10"/>
      <c r="G135" s="38" t="s">
        <v>0</v>
      </c>
      <c r="H135" s="39"/>
      <c r="I135" s="40"/>
      <c r="J135" s="10"/>
      <c r="K135" s="41" t="s">
        <v>1</v>
      </c>
      <c r="L135" s="42"/>
      <c r="M135" s="43"/>
      <c r="N135" s="11"/>
      <c r="O135" s="11"/>
      <c r="P135" s="11"/>
      <c r="Q135" s="11"/>
    </row>
    <row r="136" spans="1:17" ht="21" x14ac:dyDescent="0.3">
      <c r="A136" s="5"/>
      <c r="B136" s="5"/>
      <c r="C136" s="1" t="s">
        <v>6</v>
      </c>
      <c r="D136" s="9" t="s">
        <v>7</v>
      </c>
      <c r="E136" s="1" t="s">
        <v>8</v>
      </c>
      <c r="F136" s="2" t="s">
        <v>16</v>
      </c>
      <c r="G136" s="12" t="s">
        <v>9</v>
      </c>
      <c r="H136" s="12" t="s">
        <v>10</v>
      </c>
      <c r="I136" s="12" t="s">
        <v>11</v>
      </c>
      <c r="J136" s="2" t="s">
        <v>17</v>
      </c>
      <c r="K136" s="13" t="s">
        <v>12</v>
      </c>
      <c r="L136" s="13" t="s">
        <v>13</v>
      </c>
      <c r="M136" s="13" t="s">
        <v>14</v>
      </c>
      <c r="N136" s="11" t="s">
        <v>2</v>
      </c>
      <c r="O136" s="11" t="s">
        <v>3</v>
      </c>
      <c r="P136" s="11" t="s">
        <v>4</v>
      </c>
      <c r="Q136" s="11" t="s">
        <v>5</v>
      </c>
    </row>
    <row r="137" spans="1:17" ht="21" x14ac:dyDescent="0.35">
      <c r="A137" s="28"/>
      <c r="B137" s="28"/>
      <c r="C137" s="29" t="s">
        <v>28</v>
      </c>
      <c r="D137" s="17" t="e">
        <f t="shared" ref="D137:D148" si="72">LEFT(B137, FIND("-", B137)-1)</f>
        <v>#VALUE!</v>
      </c>
      <c r="E137" s="18" t="e">
        <f t="shared" ref="E137:E148" si="73">MID(B137, FIND("-", B137)+1, FIND("-", B137, FIND("-", B137)+1)-FIND("-", B137)-1)</f>
        <v>#VALUE!</v>
      </c>
      <c r="F137" s="18"/>
      <c r="G137" s="18" t="str">
        <f t="shared" ref="G137:G148" si="74">IF(ISERROR(FIND("-D-", B137)), "", "X")</f>
        <v/>
      </c>
      <c r="H137" s="18" t="str">
        <f t="shared" ref="H137:H148" si="75">IF(ISERROR(FIND("-C-", B137)), "", "X")</f>
        <v/>
      </c>
      <c r="I137" s="18" t="str">
        <f t="shared" ref="I137:I148" si="76">IF(ISERROR(FIND("-E-", B137)), "", "X")</f>
        <v/>
      </c>
      <c r="J137" s="18"/>
      <c r="K137" s="18" t="str">
        <f t="shared" ref="K137:K148" si="77">IF(ISERROR(FIND("P1", A137)), "", "X")</f>
        <v/>
      </c>
      <c r="L137" s="18" t="str">
        <f t="shared" ref="L137:L148" si="78">IF(ISERROR(FIND("P2", A137)), "", "X")</f>
        <v/>
      </c>
      <c r="M137" s="18" t="str">
        <f t="shared" ref="M137:M148" si="79">IF(ISERROR(FIND("P3", A137)), "", "X")</f>
        <v/>
      </c>
      <c r="N137" s="3" t="str">
        <f t="shared" ref="N137:N148" si="80">IF(ISERROR(FIND("RO", B137)),
    IF(ISERROR(FIND("CD", B137)),
        IF(ISERROR(FIND("CG", B137)),
            IF(ISERROR(FIND("AG", B137)),
                IF(ISERROR(FIND("RT", B137)),
                    IF(ISERROR(FIND("RF", B137)),
                        IF(ISERROR(FIND("AM", B137)),
                            IF(ISERROR(FIND("RP", B137)),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137" s="16"/>
      <c r="P137" s="19"/>
      <c r="Q137" s="20"/>
    </row>
    <row r="138" spans="1:17" ht="21" x14ac:dyDescent="0.35">
      <c r="A138" s="28"/>
      <c r="B138" s="28"/>
      <c r="C138" s="30"/>
      <c r="D138" s="22" t="e">
        <f t="shared" si="72"/>
        <v>#VALUE!</v>
      </c>
      <c r="E138" s="23" t="e">
        <f t="shared" si="73"/>
        <v>#VALUE!</v>
      </c>
      <c r="F138" s="23"/>
      <c r="G138" s="23" t="str">
        <f t="shared" si="74"/>
        <v/>
      </c>
      <c r="H138" s="23" t="str">
        <f t="shared" si="75"/>
        <v/>
      </c>
      <c r="I138" s="23" t="str">
        <f t="shared" si="76"/>
        <v/>
      </c>
      <c r="J138" s="23"/>
      <c r="K138" s="23" t="str">
        <f t="shared" si="77"/>
        <v/>
      </c>
      <c r="L138" s="23" t="str">
        <f t="shared" si="78"/>
        <v/>
      </c>
      <c r="M138" s="23" t="str">
        <f t="shared" si="79"/>
        <v/>
      </c>
      <c r="N138" s="24" t="str">
        <f t="shared" si="80"/>
        <v/>
      </c>
      <c r="O138" s="25"/>
      <c r="P138" s="26"/>
      <c r="Q138" s="27"/>
    </row>
    <row r="139" spans="1:17" ht="21" x14ac:dyDescent="0.35">
      <c r="A139" s="28"/>
      <c r="B139" s="28"/>
      <c r="C139" s="30"/>
      <c r="D139" s="22" t="e">
        <f t="shared" si="72"/>
        <v>#VALUE!</v>
      </c>
      <c r="E139" s="23" t="e">
        <f t="shared" si="73"/>
        <v>#VALUE!</v>
      </c>
      <c r="F139" s="23"/>
      <c r="G139" s="23" t="str">
        <f t="shared" si="74"/>
        <v/>
      </c>
      <c r="H139" s="23" t="str">
        <f t="shared" si="75"/>
        <v/>
      </c>
      <c r="I139" s="23" t="str">
        <f t="shared" si="76"/>
        <v/>
      </c>
      <c r="J139" s="23"/>
      <c r="K139" s="23" t="str">
        <f t="shared" si="77"/>
        <v/>
      </c>
      <c r="L139" s="23" t="str">
        <f t="shared" si="78"/>
        <v/>
      </c>
      <c r="M139" s="23" t="str">
        <f t="shared" si="79"/>
        <v/>
      </c>
      <c r="N139" s="24" t="str">
        <f t="shared" si="80"/>
        <v/>
      </c>
      <c r="O139" s="25"/>
      <c r="P139" s="26"/>
      <c r="Q139" s="27"/>
    </row>
    <row r="140" spans="1:17" ht="21" x14ac:dyDescent="0.35">
      <c r="A140" s="28"/>
      <c r="B140" s="28"/>
      <c r="C140" s="30"/>
      <c r="D140" s="22" t="e">
        <f t="shared" si="72"/>
        <v>#VALUE!</v>
      </c>
      <c r="E140" s="23" t="e">
        <f t="shared" si="73"/>
        <v>#VALUE!</v>
      </c>
      <c r="F140" s="23"/>
      <c r="G140" s="23" t="str">
        <f t="shared" si="74"/>
        <v/>
      </c>
      <c r="H140" s="23" t="str">
        <f t="shared" si="75"/>
        <v/>
      </c>
      <c r="I140" s="23" t="str">
        <f t="shared" si="76"/>
        <v/>
      </c>
      <c r="J140" s="23"/>
      <c r="K140" s="23" t="str">
        <f t="shared" si="77"/>
        <v/>
      </c>
      <c r="L140" s="23" t="str">
        <f t="shared" si="78"/>
        <v/>
      </c>
      <c r="M140" s="23" t="str">
        <f t="shared" si="79"/>
        <v/>
      </c>
      <c r="N140" s="24" t="str">
        <f t="shared" si="80"/>
        <v/>
      </c>
      <c r="O140" s="25"/>
      <c r="P140" s="26"/>
      <c r="Q140" s="27"/>
    </row>
    <row r="141" spans="1:17" ht="21" x14ac:dyDescent="0.35">
      <c r="A141" s="28"/>
      <c r="B141" s="28"/>
      <c r="C141" s="30"/>
      <c r="D141" s="22" t="e">
        <f t="shared" si="72"/>
        <v>#VALUE!</v>
      </c>
      <c r="E141" s="23" t="e">
        <f t="shared" si="73"/>
        <v>#VALUE!</v>
      </c>
      <c r="F141" s="23"/>
      <c r="G141" s="23" t="str">
        <f t="shared" si="74"/>
        <v/>
      </c>
      <c r="H141" s="23" t="str">
        <f t="shared" si="75"/>
        <v/>
      </c>
      <c r="I141" s="23" t="str">
        <f t="shared" si="76"/>
        <v/>
      </c>
      <c r="J141" s="23"/>
      <c r="K141" s="23" t="str">
        <f t="shared" si="77"/>
        <v/>
      </c>
      <c r="L141" s="23" t="str">
        <f t="shared" si="78"/>
        <v/>
      </c>
      <c r="M141" s="23" t="str">
        <f t="shared" si="79"/>
        <v/>
      </c>
      <c r="N141" s="24" t="str">
        <f t="shared" si="80"/>
        <v/>
      </c>
      <c r="O141" s="25"/>
      <c r="P141" s="26"/>
      <c r="Q141" s="27"/>
    </row>
    <row r="142" spans="1:17" ht="21" x14ac:dyDescent="0.35">
      <c r="A142" s="16"/>
      <c r="B142" s="16"/>
      <c r="C142" s="30"/>
      <c r="D142" s="22" t="e">
        <f t="shared" si="72"/>
        <v>#VALUE!</v>
      </c>
      <c r="E142" s="23" t="e">
        <f t="shared" si="73"/>
        <v>#VALUE!</v>
      </c>
      <c r="F142" s="23"/>
      <c r="G142" s="23" t="str">
        <f t="shared" si="74"/>
        <v/>
      </c>
      <c r="H142" s="23" t="str">
        <f t="shared" si="75"/>
        <v/>
      </c>
      <c r="I142" s="23" t="str">
        <f t="shared" si="76"/>
        <v/>
      </c>
      <c r="J142" s="23"/>
      <c r="K142" s="23" t="str">
        <f t="shared" si="77"/>
        <v/>
      </c>
      <c r="L142" s="23" t="str">
        <f t="shared" si="78"/>
        <v/>
      </c>
      <c r="M142" s="23" t="str">
        <f t="shared" si="79"/>
        <v/>
      </c>
      <c r="N142" s="24" t="str">
        <f t="shared" si="80"/>
        <v/>
      </c>
      <c r="O142" s="25"/>
      <c r="P142" s="26"/>
      <c r="Q142" s="27"/>
    </row>
    <row r="143" spans="1:17" ht="21" x14ac:dyDescent="0.35">
      <c r="A143" s="16"/>
      <c r="B143" s="16"/>
      <c r="C143" s="30"/>
      <c r="D143" s="22" t="e">
        <f t="shared" si="72"/>
        <v>#VALUE!</v>
      </c>
      <c r="E143" s="23" t="e">
        <f t="shared" si="73"/>
        <v>#VALUE!</v>
      </c>
      <c r="F143" s="23"/>
      <c r="G143" s="23" t="str">
        <f t="shared" si="74"/>
        <v/>
      </c>
      <c r="H143" s="23" t="str">
        <f t="shared" si="75"/>
        <v/>
      </c>
      <c r="I143" s="23" t="str">
        <f t="shared" si="76"/>
        <v/>
      </c>
      <c r="J143" s="23"/>
      <c r="K143" s="23" t="str">
        <f t="shared" si="77"/>
        <v/>
      </c>
      <c r="L143" s="23" t="str">
        <f t="shared" si="78"/>
        <v/>
      </c>
      <c r="M143" s="23" t="str">
        <f t="shared" si="79"/>
        <v/>
      </c>
      <c r="N143" s="24" t="str">
        <f t="shared" si="80"/>
        <v/>
      </c>
      <c r="O143" s="25"/>
      <c r="P143" s="26"/>
      <c r="Q143" s="27"/>
    </row>
    <row r="144" spans="1:17" ht="21" x14ac:dyDescent="0.35">
      <c r="A144" s="16"/>
      <c r="B144" s="16"/>
      <c r="C144" s="30"/>
      <c r="D144" s="22" t="e">
        <f t="shared" si="72"/>
        <v>#VALUE!</v>
      </c>
      <c r="E144" s="23" t="e">
        <f t="shared" si="73"/>
        <v>#VALUE!</v>
      </c>
      <c r="F144" s="23"/>
      <c r="G144" s="23" t="str">
        <f t="shared" si="74"/>
        <v/>
      </c>
      <c r="H144" s="23" t="str">
        <f t="shared" si="75"/>
        <v/>
      </c>
      <c r="I144" s="23" t="str">
        <f t="shared" si="76"/>
        <v/>
      </c>
      <c r="J144" s="23"/>
      <c r="K144" s="23" t="str">
        <f t="shared" si="77"/>
        <v/>
      </c>
      <c r="L144" s="23" t="str">
        <f t="shared" si="78"/>
        <v/>
      </c>
      <c r="M144" s="23" t="str">
        <f t="shared" si="79"/>
        <v/>
      </c>
      <c r="N144" s="24" t="str">
        <f t="shared" si="80"/>
        <v/>
      </c>
      <c r="O144" s="25"/>
      <c r="P144" s="26"/>
      <c r="Q144" s="27"/>
    </row>
    <row r="145" spans="1:17" ht="21" x14ac:dyDescent="0.35">
      <c r="A145" s="14"/>
      <c r="B145" s="14"/>
      <c r="C145" s="30"/>
      <c r="D145" s="8" t="e">
        <f t="shared" si="72"/>
        <v>#VALUE!</v>
      </c>
      <c r="E145" s="6" t="e">
        <f t="shared" si="73"/>
        <v>#VALUE!</v>
      </c>
      <c r="F145" s="6"/>
      <c r="G145" s="6" t="str">
        <f t="shared" si="74"/>
        <v/>
      </c>
      <c r="H145" s="6" t="str">
        <f t="shared" si="75"/>
        <v/>
      </c>
      <c r="I145" s="6" t="str">
        <f t="shared" si="76"/>
        <v/>
      </c>
      <c r="J145" s="6"/>
      <c r="K145" s="6" t="str">
        <f t="shared" si="77"/>
        <v/>
      </c>
      <c r="L145" s="6" t="str">
        <f t="shared" si="78"/>
        <v/>
      </c>
      <c r="M145" s="6" t="str">
        <f t="shared" si="79"/>
        <v/>
      </c>
      <c r="N145" s="3" t="str">
        <f t="shared" si="80"/>
        <v/>
      </c>
      <c r="O145" s="14"/>
      <c r="P145" s="15"/>
      <c r="Q145" s="7"/>
    </row>
    <row r="146" spans="1:17" ht="21" x14ac:dyDescent="0.35">
      <c r="A146" s="14"/>
      <c r="B146" s="14"/>
      <c r="C146" s="30"/>
      <c r="D146" s="8" t="e">
        <f t="shared" si="72"/>
        <v>#VALUE!</v>
      </c>
      <c r="E146" s="6" t="e">
        <f t="shared" si="73"/>
        <v>#VALUE!</v>
      </c>
      <c r="F146" s="6"/>
      <c r="G146" s="6" t="str">
        <f t="shared" si="74"/>
        <v/>
      </c>
      <c r="H146" s="6" t="str">
        <f t="shared" si="75"/>
        <v/>
      </c>
      <c r="I146" s="6" t="str">
        <f t="shared" si="76"/>
        <v/>
      </c>
      <c r="J146" s="6"/>
      <c r="K146" s="6" t="str">
        <f t="shared" si="77"/>
        <v/>
      </c>
      <c r="L146" s="6" t="str">
        <f t="shared" si="78"/>
        <v/>
      </c>
      <c r="M146" s="6" t="str">
        <f t="shared" si="79"/>
        <v/>
      </c>
      <c r="N146" s="3" t="str">
        <f t="shared" si="80"/>
        <v/>
      </c>
      <c r="O146" s="14"/>
      <c r="P146" s="15"/>
      <c r="Q146" s="7"/>
    </row>
    <row r="147" spans="1:17" ht="21" x14ac:dyDescent="0.35">
      <c r="A147" s="14"/>
      <c r="B147" s="14"/>
      <c r="C147" s="30"/>
      <c r="D147" s="8" t="e">
        <f t="shared" si="72"/>
        <v>#VALUE!</v>
      </c>
      <c r="E147" s="6" t="e">
        <f t="shared" si="73"/>
        <v>#VALUE!</v>
      </c>
      <c r="F147" s="6"/>
      <c r="G147" s="6" t="str">
        <f t="shared" si="74"/>
        <v/>
      </c>
      <c r="H147" s="6" t="str">
        <f t="shared" si="75"/>
        <v/>
      </c>
      <c r="I147" s="6" t="str">
        <f t="shared" si="76"/>
        <v/>
      </c>
      <c r="J147" s="6"/>
      <c r="K147" s="6" t="str">
        <f t="shared" si="77"/>
        <v/>
      </c>
      <c r="L147" s="6" t="str">
        <f t="shared" si="78"/>
        <v/>
      </c>
      <c r="M147" s="6" t="str">
        <f t="shared" si="79"/>
        <v/>
      </c>
      <c r="N147" s="3" t="str">
        <f t="shared" si="80"/>
        <v/>
      </c>
      <c r="O147" s="14"/>
      <c r="P147" s="15"/>
      <c r="Q147" s="7"/>
    </row>
    <row r="148" spans="1:17" ht="21" x14ac:dyDescent="0.35">
      <c r="A148" s="14"/>
      <c r="B148" s="14"/>
      <c r="C148" s="30"/>
      <c r="D148" s="8" t="e">
        <f t="shared" si="72"/>
        <v>#VALUE!</v>
      </c>
      <c r="E148" s="6" t="e">
        <f t="shared" si="73"/>
        <v>#VALUE!</v>
      </c>
      <c r="F148" s="6"/>
      <c r="G148" s="6" t="str">
        <f t="shared" si="74"/>
        <v/>
      </c>
      <c r="H148" s="6" t="str">
        <f t="shared" si="75"/>
        <v/>
      </c>
      <c r="I148" s="6" t="str">
        <f t="shared" si="76"/>
        <v/>
      </c>
      <c r="J148" s="6"/>
      <c r="K148" s="6" t="str">
        <f t="shared" si="77"/>
        <v/>
      </c>
      <c r="L148" s="6" t="str">
        <f t="shared" si="78"/>
        <v/>
      </c>
      <c r="M148" s="6" t="str">
        <f t="shared" si="79"/>
        <v/>
      </c>
      <c r="N148" s="3" t="str">
        <f t="shared" si="80"/>
        <v/>
      </c>
      <c r="O148" s="14"/>
      <c r="P148" s="15"/>
      <c r="Q148" s="7"/>
    </row>
    <row r="149" spans="1:17" ht="28.5" x14ac:dyDescent="0.25">
      <c r="C149" s="31" t="str">
        <f>COUNTIF(E137:E148, "RC") + COUNTIF(E137:E148, "RI") +  COUNTIF(E137:E148, "AC") + COUNTIF(E137:E148, "RR") + COUNTIF(E137:E148, "RU") + COUNTIF(E137:E148, "GR") + COUNTIF(E137:E148, "RP") + COUNTIF(E137:E148, "GC") + COUNTIF(E137:E148, "RB") &amp; " ROLOS (" &amp;
IF(COUNTIF(E137:E148, "RC") &gt; 0, COUNTIF(E137:E148, "RC") &amp; " RC; ", "") &amp;
IF(COUNTIF(E137:E148, "RI") &gt; 0, COUNTIF(E137:E148, "RI") &amp; " RI; ", "") &amp;
IF(COUNTIF(E137:E148, "RR") &gt; 0, COUNTIF(E137:E148, "RR") &amp; " RR; ", "") &amp;
IF(COUNTIF(E137:E148, "RU") &gt; 0, COUNTIF(E137:E148, "RU") &amp; " RU; ", "") &amp;
IF(COUNTIF(E137:E148, "GR") &gt; 0, COUNTIF(E137:E148, "GR") &amp; " GR; ", "") &amp;
IF(COUNTIF(E137:E148, "RP") &gt; 0, COUNTIF(E137:E148, "RP") &amp; " RP; ", "") &amp;
IF(COUNTIF(E137:E148, "GC") &gt; 0, COUNTIF(E137:E148, "GC") &amp; " GC; ", "") &amp;
IF(COUNTIF(E137:E148, "RB") &gt; 0, COUNTIF(E137:E148, "RB") &amp; " RB", "") &amp;
IF(COUNTIF(E137:E148, "AC") &gt; 0, COUNTIF(E137:E148, "AC") &amp; "AC", "")
&amp;")"</f>
        <v>0 ROLOS ()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3"/>
    </row>
  </sheetData>
  <mergeCells count="54">
    <mergeCell ref="C149:Q149"/>
    <mergeCell ref="C134:Q134"/>
    <mergeCell ref="C135:E135"/>
    <mergeCell ref="G135:I135"/>
    <mergeCell ref="K135:M135"/>
    <mergeCell ref="C137:C148"/>
    <mergeCell ref="C32:Q32"/>
    <mergeCell ref="C2:Q2"/>
    <mergeCell ref="C3:E3"/>
    <mergeCell ref="G3:I3"/>
    <mergeCell ref="K3:M3"/>
    <mergeCell ref="C5:C14"/>
    <mergeCell ref="C15:Q15"/>
    <mergeCell ref="C17:Q17"/>
    <mergeCell ref="C18:E18"/>
    <mergeCell ref="G18:I18"/>
    <mergeCell ref="K18:M18"/>
    <mergeCell ref="C20:C31"/>
    <mergeCell ref="C66:Q66"/>
    <mergeCell ref="C34:Q34"/>
    <mergeCell ref="C35:E35"/>
    <mergeCell ref="G35:I35"/>
    <mergeCell ref="K35:M35"/>
    <mergeCell ref="C37:C48"/>
    <mergeCell ref="C49:Q49"/>
    <mergeCell ref="C51:Q51"/>
    <mergeCell ref="C52:E52"/>
    <mergeCell ref="G52:I52"/>
    <mergeCell ref="K52:M52"/>
    <mergeCell ref="C54:C65"/>
    <mergeCell ref="C98:Q98"/>
    <mergeCell ref="C68:Q68"/>
    <mergeCell ref="C69:E69"/>
    <mergeCell ref="G69:I69"/>
    <mergeCell ref="K69:M69"/>
    <mergeCell ref="C71:C80"/>
    <mergeCell ref="C81:Q81"/>
    <mergeCell ref="C83:Q83"/>
    <mergeCell ref="C84:E84"/>
    <mergeCell ref="G84:I84"/>
    <mergeCell ref="K84:M84"/>
    <mergeCell ref="C86:C97"/>
    <mergeCell ref="C132:Q132"/>
    <mergeCell ref="C100:Q100"/>
    <mergeCell ref="C101:E101"/>
    <mergeCell ref="G101:I101"/>
    <mergeCell ref="K101:M101"/>
    <mergeCell ref="C103:C114"/>
    <mergeCell ref="C115:Q115"/>
    <mergeCell ref="C117:Q117"/>
    <mergeCell ref="C118:E118"/>
    <mergeCell ref="G118:I118"/>
    <mergeCell ref="K118:M118"/>
    <mergeCell ref="C120:C131"/>
  </mergeCells>
  <pageMargins left="0.511811024" right="0.511811024" top="0.78740157499999996" bottom="0.78740157499999996" header="0.31496062000000002" footer="0.31496062000000002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07D4-4994-4AC2-8865-B946E628118D}">
  <dimension ref="A2:Q49"/>
  <sheetViews>
    <sheetView topLeftCell="A7" zoomScale="55" zoomScaleNormal="55" workbookViewId="0">
      <selection activeCell="A51" sqref="A51:XFD138"/>
    </sheetView>
  </sheetViews>
  <sheetFormatPr defaultRowHeight="15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29</v>
      </c>
      <c r="D5" s="22" t="e">
        <f t="shared" ref="D5:D14" si="0">LEFT(B5, FIND("-", B5)-1)</f>
        <v>#VALUE!</v>
      </c>
      <c r="E5" s="23" t="e">
        <f t="shared" ref="E5:E14" si="1">MID(B5, FIND("-", B5)+1, FIND("-", B5, FIND("-", B5)+1)-FIND("-", B5)-1)</f>
        <v>#VALUE!</v>
      </c>
      <c r="F5" s="23"/>
      <c r="G5" s="23" t="str">
        <f t="shared" ref="G5:G14" si="2">IF(ISERROR(FIND("-D-", B5)), "", "X")</f>
        <v/>
      </c>
      <c r="H5" s="23" t="str">
        <f t="shared" ref="H5:H14" si="3">IF(ISERROR(FIND("-C-", B5)), "", "X")</f>
        <v/>
      </c>
      <c r="I5" s="23" t="str">
        <f t="shared" ref="I5:I14" si="4">IF(ISERROR(FIND("-E-", B5)), "", "X")</f>
        <v/>
      </c>
      <c r="J5" s="23"/>
      <c r="K5" s="23" t="str">
        <f t="shared" ref="K5:K14" si="5">IF(ISERROR(FIND("P1", A5)), "", "X")</f>
        <v/>
      </c>
      <c r="L5" s="23" t="str">
        <f t="shared" ref="L5:L14" si="6">IF(ISERROR(FIND("P2", A5)), "", "X")</f>
        <v/>
      </c>
      <c r="M5" s="23" t="str">
        <f t="shared" ref="M5:M14" si="7">IF(ISERROR(FIND("P3", A5)), "", "X")</f>
        <v/>
      </c>
      <c r="N5" s="24" t="str">
        <f t="shared" ref="N5:N14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si="0"/>
        <v>#VALUE!</v>
      </c>
      <c r="E7" s="23" t="e">
        <f t="shared" si="1"/>
        <v>#VALUE!</v>
      </c>
      <c r="F7" s="23"/>
      <c r="G7" s="23" t="str">
        <f t="shared" si="2"/>
        <v/>
      </c>
      <c r="H7" s="23" t="str">
        <f t="shared" si="3"/>
        <v/>
      </c>
      <c r="I7" s="23" t="str">
        <f t="shared" si="4"/>
        <v/>
      </c>
      <c r="J7" s="23"/>
      <c r="K7" s="23" t="str">
        <f t="shared" si="5"/>
        <v/>
      </c>
      <c r="L7" s="23" t="str">
        <f t="shared" si="6"/>
        <v/>
      </c>
      <c r="M7" s="23" t="str">
        <f t="shared" si="7"/>
        <v/>
      </c>
      <c r="N7" s="24" t="str">
        <f t="shared" si="8"/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si="0"/>
        <v>#VALUE!</v>
      </c>
      <c r="E8" s="23" t="e">
        <f t="shared" si="1"/>
        <v>#VALUE!</v>
      </c>
      <c r="F8" s="23"/>
      <c r="G8" s="23" t="str">
        <f t="shared" si="2"/>
        <v/>
      </c>
      <c r="H8" s="23" t="str">
        <f t="shared" si="3"/>
        <v/>
      </c>
      <c r="I8" s="23" t="str">
        <f t="shared" si="4"/>
        <v/>
      </c>
      <c r="J8" s="23"/>
      <c r="K8" s="23" t="str">
        <f t="shared" si="5"/>
        <v/>
      </c>
      <c r="L8" s="23" t="str">
        <f t="shared" si="6"/>
        <v/>
      </c>
      <c r="M8" s="23" t="str">
        <f t="shared" si="7"/>
        <v/>
      </c>
      <c r="N8" s="24" t="str">
        <f t="shared" si="8"/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0"/>
        <v>#VALUE!</v>
      </c>
      <c r="E9" s="23" t="e">
        <f t="shared" si="1"/>
        <v>#VALUE!</v>
      </c>
      <c r="F9" s="23"/>
      <c r="G9" s="23" t="str">
        <f t="shared" si="2"/>
        <v/>
      </c>
      <c r="H9" s="23" t="str">
        <f t="shared" si="3"/>
        <v/>
      </c>
      <c r="I9" s="23" t="str">
        <f t="shared" si="4"/>
        <v/>
      </c>
      <c r="J9" s="23"/>
      <c r="K9" s="23" t="str">
        <f t="shared" si="5"/>
        <v/>
      </c>
      <c r="L9" s="23" t="str">
        <f t="shared" si="6"/>
        <v/>
      </c>
      <c r="M9" s="23" t="str">
        <f t="shared" si="7"/>
        <v/>
      </c>
      <c r="N9" s="24" t="str">
        <f t="shared" si="8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0"/>
        <v>#VALUE!</v>
      </c>
      <c r="E10" s="23" t="e">
        <f t="shared" si="1"/>
        <v>#VALUE!</v>
      </c>
      <c r="F10" s="23"/>
      <c r="G10" s="23" t="str">
        <f t="shared" si="2"/>
        <v/>
      </c>
      <c r="H10" s="23" t="str">
        <f t="shared" si="3"/>
        <v/>
      </c>
      <c r="I10" s="23" t="str">
        <f t="shared" si="4"/>
        <v/>
      </c>
      <c r="J10" s="23"/>
      <c r="K10" s="23" t="str">
        <f t="shared" si="5"/>
        <v/>
      </c>
      <c r="L10" s="23" t="str">
        <f t="shared" si="6"/>
        <v/>
      </c>
      <c r="M10" s="23" t="str">
        <f t="shared" si="7"/>
        <v/>
      </c>
      <c r="N10" s="24" t="str">
        <f t="shared" si="8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si="0"/>
        <v>#VALUE!</v>
      </c>
      <c r="E11" s="6" t="e">
        <f t="shared" si="1"/>
        <v>#VALUE!</v>
      </c>
      <c r="F11" s="6"/>
      <c r="G11" s="6" t="str">
        <f t="shared" si="2"/>
        <v/>
      </c>
      <c r="H11" s="6" t="str">
        <f t="shared" si="3"/>
        <v/>
      </c>
      <c r="I11" s="6" t="str">
        <f t="shared" si="4"/>
        <v/>
      </c>
      <c r="J11" s="6"/>
      <c r="K11" s="6" t="str">
        <f t="shared" si="5"/>
        <v/>
      </c>
      <c r="L11" s="6" t="str">
        <f t="shared" si="6"/>
        <v/>
      </c>
      <c r="M11" s="6" t="str">
        <f t="shared" si="7"/>
        <v/>
      </c>
      <c r="N11" s="3" t="str">
        <f t="shared" si="8"/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0"/>
        <v>#VALUE!</v>
      </c>
      <c r="E12" s="6" t="e">
        <f t="shared" si="1"/>
        <v>#VALUE!</v>
      </c>
      <c r="F12" s="6"/>
      <c r="G12" s="6" t="str">
        <f t="shared" si="2"/>
        <v/>
      </c>
      <c r="H12" s="6" t="str">
        <f t="shared" si="3"/>
        <v/>
      </c>
      <c r="I12" s="6" t="str">
        <f t="shared" si="4"/>
        <v/>
      </c>
      <c r="J12" s="6"/>
      <c r="K12" s="6" t="str">
        <f t="shared" si="5"/>
        <v/>
      </c>
      <c r="L12" s="6" t="str">
        <f t="shared" si="6"/>
        <v/>
      </c>
      <c r="M12" s="6" t="str">
        <f t="shared" si="7"/>
        <v/>
      </c>
      <c r="N12" s="3" t="str">
        <f t="shared" si="8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0"/>
        <v>#VALUE!</v>
      </c>
      <c r="E13" s="6" t="e">
        <f t="shared" si="1"/>
        <v>#VALUE!</v>
      </c>
      <c r="F13" s="6"/>
      <c r="G13" s="6" t="str">
        <f t="shared" si="2"/>
        <v/>
      </c>
      <c r="H13" s="6" t="str">
        <f t="shared" si="3"/>
        <v/>
      </c>
      <c r="I13" s="6" t="str">
        <f t="shared" si="4"/>
        <v/>
      </c>
      <c r="J13" s="6"/>
      <c r="K13" s="6" t="str">
        <f t="shared" si="5"/>
        <v/>
      </c>
      <c r="L13" s="6" t="str">
        <f t="shared" si="6"/>
        <v/>
      </c>
      <c r="M13" s="6" t="str">
        <f t="shared" si="7"/>
        <v/>
      </c>
      <c r="N13" s="3" t="str">
        <f t="shared" si="8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0"/>
        <v>#VALUE!</v>
      </c>
      <c r="E14" s="6" t="e">
        <f t="shared" si="1"/>
        <v>#VALUE!</v>
      </c>
      <c r="F14" s="6"/>
      <c r="G14" s="6" t="str">
        <f t="shared" si="2"/>
        <v/>
      </c>
      <c r="H14" s="6" t="str">
        <f t="shared" si="3"/>
        <v/>
      </c>
      <c r="I14" s="6" t="str">
        <f t="shared" si="4"/>
        <v/>
      </c>
      <c r="J14" s="6"/>
      <c r="K14" s="6" t="str">
        <f t="shared" si="5"/>
        <v/>
      </c>
      <c r="L14" s="6" t="str">
        <f t="shared" si="6"/>
        <v/>
      </c>
      <c r="M14" s="6" t="str">
        <f t="shared" si="7"/>
        <v/>
      </c>
      <c r="N14" s="3" t="str">
        <f t="shared" si="8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ht="20.100000000000001" customHeight="1" x14ac:dyDescent="0.25"/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30</v>
      </c>
      <c r="D20" s="17" t="e">
        <f t="shared" ref="D20:D31" si="9">LEFT(B20, FIND("-", B20)-1)</f>
        <v>#VALUE!</v>
      </c>
      <c r="E20" s="18" t="e">
        <f t="shared" ref="E20:E31" si="10">MID(B20, FIND("-", B20)+1, FIND("-", B20, FIND("-", B20)+1)-FIND("-", B20)-1)</f>
        <v>#VALUE!</v>
      </c>
      <c r="F20" s="18"/>
      <c r="G20" s="18" t="str">
        <f t="shared" ref="G20:G31" si="11">IF(ISERROR(FIND("-D-", B20)), "", "X")</f>
        <v/>
      </c>
      <c r="H20" s="18" t="str">
        <f t="shared" ref="H20:H31" si="12">IF(ISERROR(FIND("-C-", B20)), "", "X")</f>
        <v/>
      </c>
      <c r="I20" s="18" t="str">
        <f t="shared" ref="I20:I31" si="13">IF(ISERROR(FIND("-E-", B20)), "", "X")</f>
        <v/>
      </c>
      <c r="J20" s="18"/>
      <c r="K20" s="18" t="str">
        <f t="shared" ref="K20:K31" si="14">IF(ISERROR(FIND("P1", A20)), "", "X")</f>
        <v/>
      </c>
      <c r="L20" s="18" t="str">
        <f t="shared" ref="L20:L31" si="15">IF(ISERROR(FIND("P2", A20)), "", "X")</f>
        <v/>
      </c>
      <c r="M20" s="18" t="str">
        <f t="shared" ref="M20:M31" si="16">IF(ISERROR(FIND("P3", A20)), "", "X")</f>
        <v/>
      </c>
      <c r="N20" s="3" t="str">
        <f t="shared" ref="N20:N31" si="17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9"/>
        <v>#VALUE!</v>
      </c>
      <c r="E21" s="23" t="e">
        <f t="shared" si="10"/>
        <v>#VALUE!</v>
      </c>
      <c r="F21" s="23"/>
      <c r="G21" s="23" t="str">
        <f t="shared" si="11"/>
        <v/>
      </c>
      <c r="H21" s="23" t="str">
        <f t="shared" si="12"/>
        <v/>
      </c>
      <c r="I21" s="23" t="str">
        <f t="shared" si="13"/>
        <v/>
      </c>
      <c r="J21" s="23"/>
      <c r="K21" s="23" t="str">
        <f t="shared" si="14"/>
        <v/>
      </c>
      <c r="L21" s="23" t="str">
        <f t="shared" si="15"/>
        <v/>
      </c>
      <c r="M21" s="23" t="str">
        <f t="shared" si="16"/>
        <v/>
      </c>
      <c r="N21" s="24" t="str">
        <f t="shared" si="17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9"/>
        <v>#VALUE!</v>
      </c>
      <c r="E22" s="23" t="e">
        <f t="shared" si="10"/>
        <v>#VALUE!</v>
      </c>
      <c r="F22" s="23"/>
      <c r="G22" s="23" t="str">
        <f t="shared" si="11"/>
        <v/>
      </c>
      <c r="H22" s="23" t="str">
        <f t="shared" si="12"/>
        <v/>
      </c>
      <c r="I22" s="23" t="str">
        <f t="shared" si="13"/>
        <v/>
      </c>
      <c r="J22" s="23"/>
      <c r="K22" s="23" t="str">
        <f t="shared" si="14"/>
        <v/>
      </c>
      <c r="L22" s="23" t="str">
        <f t="shared" si="15"/>
        <v/>
      </c>
      <c r="M22" s="23" t="str">
        <f t="shared" si="16"/>
        <v/>
      </c>
      <c r="N22" s="24" t="str">
        <f t="shared" si="17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9"/>
        <v>#VALUE!</v>
      </c>
      <c r="E23" s="23" t="e">
        <f t="shared" si="10"/>
        <v>#VALUE!</v>
      </c>
      <c r="F23" s="23"/>
      <c r="G23" s="23" t="str">
        <f t="shared" si="11"/>
        <v/>
      </c>
      <c r="H23" s="23" t="str">
        <f t="shared" si="12"/>
        <v/>
      </c>
      <c r="I23" s="23" t="str">
        <f t="shared" si="13"/>
        <v/>
      </c>
      <c r="J23" s="23"/>
      <c r="K23" s="23" t="str">
        <f t="shared" si="14"/>
        <v/>
      </c>
      <c r="L23" s="23" t="str">
        <f t="shared" si="15"/>
        <v/>
      </c>
      <c r="M23" s="23" t="str">
        <f t="shared" si="16"/>
        <v/>
      </c>
      <c r="N23" s="24" t="str">
        <f t="shared" si="17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9"/>
        <v>#VALUE!</v>
      </c>
      <c r="E24" s="23" t="e">
        <f t="shared" si="10"/>
        <v>#VALUE!</v>
      </c>
      <c r="F24" s="23"/>
      <c r="G24" s="23" t="str">
        <f t="shared" si="11"/>
        <v/>
      </c>
      <c r="H24" s="23" t="str">
        <f t="shared" si="12"/>
        <v/>
      </c>
      <c r="I24" s="23" t="str">
        <f t="shared" si="13"/>
        <v/>
      </c>
      <c r="J24" s="23"/>
      <c r="K24" s="23" t="str">
        <f t="shared" si="14"/>
        <v/>
      </c>
      <c r="L24" s="23" t="str">
        <f t="shared" si="15"/>
        <v/>
      </c>
      <c r="M24" s="23" t="str">
        <f t="shared" si="16"/>
        <v/>
      </c>
      <c r="N24" s="24" t="str">
        <f t="shared" si="17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9"/>
        <v>#VALUE!</v>
      </c>
      <c r="E25" s="23" t="e">
        <f t="shared" si="10"/>
        <v>#VALUE!</v>
      </c>
      <c r="F25" s="23"/>
      <c r="G25" s="23" t="str">
        <f t="shared" si="11"/>
        <v/>
      </c>
      <c r="H25" s="23" t="str">
        <f t="shared" si="12"/>
        <v/>
      </c>
      <c r="I25" s="23" t="str">
        <f t="shared" si="13"/>
        <v/>
      </c>
      <c r="J25" s="23"/>
      <c r="K25" s="23" t="str">
        <f t="shared" si="14"/>
        <v/>
      </c>
      <c r="L25" s="23" t="str">
        <f t="shared" si="15"/>
        <v/>
      </c>
      <c r="M25" s="23" t="str">
        <f t="shared" si="16"/>
        <v/>
      </c>
      <c r="N25" s="24" t="str">
        <f t="shared" si="17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9"/>
        <v>#VALUE!</v>
      </c>
      <c r="E26" s="23" t="e">
        <f t="shared" si="10"/>
        <v>#VALUE!</v>
      </c>
      <c r="F26" s="23"/>
      <c r="G26" s="23" t="str">
        <f t="shared" si="11"/>
        <v/>
      </c>
      <c r="H26" s="23" t="str">
        <f t="shared" si="12"/>
        <v/>
      </c>
      <c r="I26" s="23" t="str">
        <f t="shared" si="13"/>
        <v/>
      </c>
      <c r="J26" s="23"/>
      <c r="K26" s="23" t="str">
        <f t="shared" si="14"/>
        <v/>
      </c>
      <c r="L26" s="23" t="str">
        <f t="shared" si="15"/>
        <v/>
      </c>
      <c r="M26" s="23" t="str">
        <f t="shared" si="16"/>
        <v/>
      </c>
      <c r="N26" s="24" t="str">
        <f t="shared" si="17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9"/>
        <v>#VALUE!</v>
      </c>
      <c r="E27" s="23" t="e">
        <f t="shared" si="10"/>
        <v>#VALUE!</v>
      </c>
      <c r="F27" s="23"/>
      <c r="G27" s="23" t="str">
        <f t="shared" si="11"/>
        <v/>
      </c>
      <c r="H27" s="23" t="str">
        <f t="shared" si="12"/>
        <v/>
      </c>
      <c r="I27" s="23" t="str">
        <f t="shared" si="13"/>
        <v/>
      </c>
      <c r="J27" s="23"/>
      <c r="K27" s="23" t="str">
        <f t="shared" si="14"/>
        <v/>
      </c>
      <c r="L27" s="23" t="str">
        <f t="shared" si="15"/>
        <v/>
      </c>
      <c r="M27" s="23" t="str">
        <f t="shared" si="16"/>
        <v/>
      </c>
      <c r="N27" s="24" t="str">
        <f t="shared" si="17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9"/>
        <v>#VALUE!</v>
      </c>
      <c r="E28" s="6" t="e">
        <f t="shared" si="10"/>
        <v>#VALUE!</v>
      </c>
      <c r="F28" s="6"/>
      <c r="G28" s="6" t="str">
        <f t="shared" si="11"/>
        <v/>
      </c>
      <c r="H28" s="6" t="str">
        <f t="shared" si="12"/>
        <v/>
      </c>
      <c r="I28" s="6" t="str">
        <f t="shared" si="13"/>
        <v/>
      </c>
      <c r="J28" s="6"/>
      <c r="K28" s="6" t="str">
        <f t="shared" si="14"/>
        <v/>
      </c>
      <c r="L28" s="6" t="str">
        <f t="shared" si="15"/>
        <v/>
      </c>
      <c r="M28" s="6" t="str">
        <f t="shared" si="16"/>
        <v/>
      </c>
      <c r="N28" s="3" t="str">
        <f t="shared" si="17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9"/>
        <v>#VALUE!</v>
      </c>
      <c r="E29" s="6" t="e">
        <f t="shared" si="10"/>
        <v>#VALUE!</v>
      </c>
      <c r="F29" s="6"/>
      <c r="G29" s="6" t="str">
        <f t="shared" si="11"/>
        <v/>
      </c>
      <c r="H29" s="6" t="str">
        <f t="shared" si="12"/>
        <v/>
      </c>
      <c r="I29" s="6" t="str">
        <f t="shared" si="13"/>
        <v/>
      </c>
      <c r="J29" s="6"/>
      <c r="K29" s="6" t="str">
        <f t="shared" si="14"/>
        <v/>
      </c>
      <c r="L29" s="6" t="str">
        <f t="shared" si="15"/>
        <v/>
      </c>
      <c r="M29" s="6" t="str">
        <f t="shared" si="16"/>
        <v/>
      </c>
      <c r="N29" s="3" t="str">
        <f t="shared" si="17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9"/>
        <v>#VALUE!</v>
      </c>
      <c r="E30" s="6" t="e">
        <f t="shared" si="10"/>
        <v>#VALUE!</v>
      </c>
      <c r="F30" s="6"/>
      <c r="G30" s="6" t="str">
        <f t="shared" si="11"/>
        <v/>
      </c>
      <c r="H30" s="6" t="str">
        <f t="shared" si="12"/>
        <v/>
      </c>
      <c r="I30" s="6" t="str">
        <f t="shared" si="13"/>
        <v/>
      </c>
      <c r="J30" s="6"/>
      <c r="K30" s="6" t="str">
        <f t="shared" si="14"/>
        <v/>
      </c>
      <c r="L30" s="6" t="str">
        <f t="shared" si="15"/>
        <v/>
      </c>
      <c r="M30" s="6" t="str">
        <f t="shared" si="16"/>
        <v/>
      </c>
      <c r="N30" s="3" t="str">
        <f t="shared" si="17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9"/>
        <v>#VALUE!</v>
      </c>
      <c r="E31" s="6" t="e">
        <f t="shared" si="10"/>
        <v>#VALUE!</v>
      </c>
      <c r="F31" s="6"/>
      <c r="G31" s="6" t="str">
        <f t="shared" si="11"/>
        <v/>
      </c>
      <c r="H31" s="6" t="str">
        <f t="shared" si="12"/>
        <v/>
      </c>
      <c r="I31" s="6" t="str">
        <f t="shared" si="13"/>
        <v/>
      </c>
      <c r="J31" s="6"/>
      <c r="K31" s="6" t="str">
        <f t="shared" si="14"/>
        <v/>
      </c>
      <c r="L31" s="6" t="str">
        <f t="shared" si="15"/>
        <v/>
      </c>
      <c r="M31" s="6" t="str">
        <f t="shared" si="16"/>
        <v/>
      </c>
      <c r="N31" s="3" t="str">
        <f t="shared" si="17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31</v>
      </c>
      <c r="D37" s="17" t="e">
        <f t="shared" ref="D37:D48" si="18">LEFT(B37, FIND("-", B37)-1)</f>
        <v>#VALUE!</v>
      </c>
      <c r="E37" s="18" t="e">
        <f t="shared" ref="E37:E48" si="19">MID(B37, FIND("-", B37)+1, FIND("-", B37, FIND("-", B37)+1)-FIND("-", B37)-1)</f>
        <v>#VALUE!</v>
      </c>
      <c r="F37" s="18"/>
      <c r="G37" s="18" t="str">
        <f t="shared" ref="G37:G48" si="20">IF(ISERROR(FIND("-D-", B37)), "", "X")</f>
        <v/>
      </c>
      <c r="H37" s="18" t="str">
        <f t="shared" ref="H37:H48" si="21">IF(ISERROR(FIND("-C-", B37)), "", "X")</f>
        <v/>
      </c>
      <c r="I37" s="18" t="str">
        <f t="shared" ref="I37:I48" si="22">IF(ISERROR(FIND("-E-", B37)), "", "X")</f>
        <v/>
      </c>
      <c r="J37" s="18"/>
      <c r="K37" s="18" t="str">
        <f t="shared" ref="K37:K48" si="23">IF(ISERROR(FIND("P1", A37)), "", "X")</f>
        <v/>
      </c>
      <c r="L37" s="18" t="str">
        <f t="shared" ref="L37:L48" si="24">IF(ISERROR(FIND("P2", A37)), "", "X")</f>
        <v/>
      </c>
      <c r="M37" s="18" t="str">
        <f t="shared" ref="M37:M48" si="25">IF(ISERROR(FIND("P3", A37)), "", "X")</f>
        <v/>
      </c>
      <c r="N37" s="3" t="str">
        <f t="shared" ref="N37:N48" si="26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18"/>
        <v>#VALUE!</v>
      </c>
      <c r="E38" s="23" t="e">
        <f t="shared" si="19"/>
        <v>#VALUE!</v>
      </c>
      <c r="F38" s="23"/>
      <c r="G38" s="23" t="str">
        <f t="shared" si="20"/>
        <v/>
      </c>
      <c r="H38" s="23" t="str">
        <f t="shared" si="21"/>
        <v/>
      </c>
      <c r="I38" s="23" t="str">
        <f t="shared" si="22"/>
        <v/>
      </c>
      <c r="J38" s="23"/>
      <c r="K38" s="23" t="str">
        <f t="shared" si="23"/>
        <v/>
      </c>
      <c r="L38" s="23" t="str">
        <f t="shared" si="24"/>
        <v/>
      </c>
      <c r="M38" s="23" t="str">
        <f t="shared" si="25"/>
        <v/>
      </c>
      <c r="N38" s="24" t="str">
        <f t="shared" si="26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18"/>
        <v>#VALUE!</v>
      </c>
      <c r="E39" s="23" t="e">
        <f t="shared" si="19"/>
        <v>#VALUE!</v>
      </c>
      <c r="F39" s="23"/>
      <c r="G39" s="23" t="str">
        <f t="shared" si="20"/>
        <v/>
      </c>
      <c r="H39" s="23" t="str">
        <f t="shared" si="21"/>
        <v/>
      </c>
      <c r="I39" s="23" t="str">
        <f t="shared" si="22"/>
        <v/>
      </c>
      <c r="J39" s="23"/>
      <c r="K39" s="23" t="str">
        <f t="shared" si="23"/>
        <v/>
      </c>
      <c r="L39" s="23" t="str">
        <f t="shared" si="24"/>
        <v/>
      </c>
      <c r="M39" s="23" t="str">
        <f t="shared" si="25"/>
        <v/>
      </c>
      <c r="N39" s="24" t="str">
        <f t="shared" si="26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18"/>
        <v>#VALUE!</v>
      </c>
      <c r="E40" s="23" t="e">
        <f t="shared" si="19"/>
        <v>#VALUE!</v>
      </c>
      <c r="F40" s="23"/>
      <c r="G40" s="23" t="str">
        <f t="shared" si="20"/>
        <v/>
      </c>
      <c r="H40" s="23" t="str">
        <f t="shared" si="21"/>
        <v/>
      </c>
      <c r="I40" s="23" t="str">
        <f t="shared" si="22"/>
        <v/>
      </c>
      <c r="J40" s="23"/>
      <c r="K40" s="23" t="str">
        <f t="shared" si="23"/>
        <v/>
      </c>
      <c r="L40" s="23" t="str">
        <f t="shared" si="24"/>
        <v/>
      </c>
      <c r="M40" s="23" t="str">
        <f t="shared" si="25"/>
        <v/>
      </c>
      <c r="N40" s="24" t="str">
        <f t="shared" si="26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18"/>
        <v>#VALUE!</v>
      </c>
      <c r="E41" s="23" t="e">
        <f t="shared" si="19"/>
        <v>#VALUE!</v>
      </c>
      <c r="F41" s="23"/>
      <c r="G41" s="23" t="str">
        <f t="shared" si="20"/>
        <v/>
      </c>
      <c r="H41" s="23" t="str">
        <f t="shared" si="21"/>
        <v/>
      </c>
      <c r="I41" s="23" t="str">
        <f t="shared" si="22"/>
        <v/>
      </c>
      <c r="J41" s="23"/>
      <c r="K41" s="23" t="str">
        <f t="shared" si="23"/>
        <v/>
      </c>
      <c r="L41" s="23" t="str">
        <f t="shared" si="24"/>
        <v/>
      </c>
      <c r="M41" s="23" t="str">
        <f t="shared" si="25"/>
        <v/>
      </c>
      <c r="N41" s="24" t="str">
        <f t="shared" si="26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18"/>
        <v>#VALUE!</v>
      </c>
      <c r="E42" s="23" t="e">
        <f t="shared" si="19"/>
        <v>#VALUE!</v>
      </c>
      <c r="F42" s="23"/>
      <c r="G42" s="23" t="str">
        <f t="shared" si="20"/>
        <v/>
      </c>
      <c r="H42" s="23" t="str">
        <f t="shared" si="21"/>
        <v/>
      </c>
      <c r="I42" s="23" t="str">
        <f t="shared" si="22"/>
        <v/>
      </c>
      <c r="J42" s="23"/>
      <c r="K42" s="23" t="str">
        <f t="shared" si="23"/>
        <v/>
      </c>
      <c r="L42" s="23" t="str">
        <f t="shared" si="24"/>
        <v/>
      </c>
      <c r="M42" s="23" t="str">
        <f t="shared" si="25"/>
        <v/>
      </c>
      <c r="N42" s="24" t="str">
        <f t="shared" si="26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18"/>
        <v>#VALUE!</v>
      </c>
      <c r="E43" s="23" t="e">
        <f t="shared" si="19"/>
        <v>#VALUE!</v>
      </c>
      <c r="F43" s="23"/>
      <c r="G43" s="23" t="str">
        <f t="shared" si="20"/>
        <v/>
      </c>
      <c r="H43" s="23" t="str">
        <f t="shared" si="21"/>
        <v/>
      </c>
      <c r="I43" s="23" t="str">
        <f t="shared" si="22"/>
        <v/>
      </c>
      <c r="J43" s="23"/>
      <c r="K43" s="23" t="str">
        <f t="shared" si="23"/>
        <v/>
      </c>
      <c r="L43" s="23" t="str">
        <f t="shared" si="24"/>
        <v/>
      </c>
      <c r="M43" s="23" t="str">
        <f t="shared" si="25"/>
        <v/>
      </c>
      <c r="N43" s="24" t="str">
        <f t="shared" si="26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18"/>
        <v>#VALUE!</v>
      </c>
      <c r="E44" s="23" t="e">
        <f t="shared" si="19"/>
        <v>#VALUE!</v>
      </c>
      <c r="F44" s="23"/>
      <c r="G44" s="23" t="str">
        <f t="shared" si="20"/>
        <v/>
      </c>
      <c r="H44" s="23" t="str">
        <f t="shared" si="21"/>
        <v/>
      </c>
      <c r="I44" s="23" t="str">
        <f t="shared" si="22"/>
        <v/>
      </c>
      <c r="J44" s="23"/>
      <c r="K44" s="23" t="str">
        <f t="shared" si="23"/>
        <v/>
      </c>
      <c r="L44" s="23" t="str">
        <f t="shared" si="24"/>
        <v/>
      </c>
      <c r="M44" s="23" t="str">
        <f t="shared" si="25"/>
        <v/>
      </c>
      <c r="N44" s="24" t="str">
        <f t="shared" si="26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18"/>
        <v>#VALUE!</v>
      </c>
      <c r="E45" s="6" t="e">
        <f t="shared" si="19"/>
        <v>#VALUE!</v>
      </c>
      <c r="F45" s="6"/>
      <c r="G45" s="6" t="str">
        <f t="shared" si="20"/>
        <v/>
      </c>
      <c r="H45" s="6" t="str">
        <f t="shared" si="21"/>
        <v/>
      </c>
      <c r="I45" s="6" t="str">
        <f t="shared" si="22"/>
        <v/>
      </c>
      <c r="J45" s="6"/>
      <c r="K45" s="6" t="str">
        <f t="shared" si="23"/>
        <v/>
      </c>
      <c r="L45" s="6" t="str">
        <f t="shared" si="24"/>
        <v/>
      </c>
      <c r="M45" s="6" t="str">
        <f t="shared" si="25"/>
        <v/>
      </c>
      <c r="N45" s="3" t="str">
        <f t="shared" si="26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18"/>
        <v>#VALUE!</v>
      </c>
      <c r="E46" s="6" t="e">
        <f t="shared" si="19"/>
        <v>#VALUE!</v>
      </c>
      <c r="F46" s="6"/>
      <c r="G46" s="6" t="str">
        <f t="shared" si="20"/>
        <v/>
      </c>
      <c r="H46" s="6" t="str">
        <f t="shared" si="21"/>
        <v/>
      </c>
      <c r="I46" s="6" t="str">
        <f t="shared" si="22"/>
        <v/>
      </c>
      <c r="J46" s="6"/>
      <c r="K46" s="6" t="str">
        <f t="shared" si="23"/>
        <v/>
      </c>
      <c r="L46" s="6" t="str">
        <f t="shared" si="24"/>
        <v/>
      </c>
      <c r="M46" s="6" t="str">
        <f t="shared" si="25"/>
        <v/>
      </c>
      <c r="N46" s="3" t="str">
        <f t="shared" si="26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18"/>
        <v>#VALUE!</v>
      </c>
      <c r="E47" s="6" t="e">
        <f t="shared" si="19"/>
        <v>#VALUE!</v>
      </c>
      <c r="F47" s="6"/>
      <c r="G47" s="6" t="str">
        <f t="shared" si="20"/>
        <v/>
      </c>
      <c r="H47" s="6" t="str">
        <f t="shared" si="21"/>
        <v/>
      </c>
      <c r="I47" s="6" t="str">
        <f t="shared" si="22"/>
        <v/>
      </c>
      <c r="J47" s="6"/>
      <c r="K47" s="6" t="str">
        <f t="shared" si="23"/>
        <v/>
      </c>
      <c r="L47" s="6" t="str">
        <f t="shared" si="24"/>
        <v/>
      </c>
      <c r="M47" s="6" t="str">
        <f t="shared" si="25"/>
        <v/>
      </c>
      <c r="N47" s="3" t="str">
        <f t="shared" si="26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18"/>
        <v>#VALUE!</v>
      </c>
      <c r="E48" s="6" t="e">
        <f t="shared" si="19"/>
        <v>#VALUE!</v>
      </c>
      <c r="F48" s="6"/>
      <c r="G48" s="6" t="str">
        <f t="shared" si="20"/>
        <v/>
      </c>
      <c r="H48" s="6" t="str">
        <f t="shared" si="21"/>
        <v/>
      </c>
      <c r="I48" s="6" t="str">
        <f t="shared" si="22"/>
        <v/>
      </c>
      <c r="J48" s="6"/>
      <c r="K48" s="6" t="str">
        <f t="shared" si="23"/>
        <v/>
      </c>
      <c r="L48" s="6" t="str">
        <f t="shared" si="24"/>
        <v/>
      </c>
      <c r="M48" s="6" t="str">
        <f t="shared" si="25"/>
        <v/>
      </c>
      <c r="N48" s="3" t="str">
        <f t="shared" si="26"/>
        <v/>
      </c>
      <c r="O48" s="14"/>
      <c r="P48" s="15"/>
      <c r="Q48" s="7"/>
    </row>
    <row r="49" spans="3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</sheetData>
  <mergeCells count="18">
    <mergeCell ref="C32:Q32"/>
    <mergeCell ref="C2:Q2"/>
    <mergeCell ref="C3:E3"/>
    <mergeCell ref="G3:I3"/>
    <mergeCell ref="K3:M3"/>
    <mergeCell ref="C5:C14"/>
    <mergeCell ref="C15:Q15"/>
    <mergeCell ref="C17:Q17"/>
    <mergeCell ref="C18:E18"/>
    <mergeCell ref="G18:I18"/>
    <mergeCell ref="K18:M18"/>
    <mergeCell ref="C20:C31"/>
    <mergeCell ref="C34:Q34"/>
    <mergeCell ref="C35:E35"/>
    <mergeCell ref="G35:I35"/>
    <mergeCell ref="K35:M35"/>
    <mergeCell ref="C37:C48"/>
    <mergeCell ref="C49:Q49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66"/>
  <sheetViews>
    <sheetView showGridLines="0" zoomScale="55" zoomScaleNormal="55" workbookViewId="0">
      <selection activeCell="A68" sqref="A68:XFD133"/>
    </sheetView>
  </sheetViews>
  <sheetFormatPr defaultRowHeight="20.100000000000001" customHeight="1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32</v>
      </c>
      <c r="D5" s="22" t="e">
        <f t="shared" ref="D5:D6" si="0">LEFT(B5, FIND("-", B5)-1)</f>
        <v>#VALUE!</v>
      </c>
      <c r="E5" s="23" t="e">
        <f t="shared" ref="E5:E6" si="1">MID(B5, FIND("-", B5)+1, FIND("-", B5, FIND("-", B5)+1)-FIND("-", B5)-1)</f>
        <v>#VALUE!</v>
      </c>
      <c r="F5" s="23"/>
      <c r="G5" s="23" t="str">
        <f t="shared" ref="G5:G6" si="2">IF(ISERROR(FIND("-D-", B5)), "", "X")</f>
        <v/>
      </c>
      <c r="H5" s="23" t="str">
        <f t="shared" ref="H5:H6" si="3">IF(ISERROR(FIND("-C-", B5)), "", "X")</f>
        <v/>
      </c>
      <c r="I5" s="23" t="str">
        <f t="shared" ref="I5:I6" si="4">IF(ISERROR(FIND("-E-", B5)), "", "X")</f>
        <v/>
      </c>
      <c r="J5" s="23"/>
      <c r="K5" s="23" t="str">
        <f t="shared" ref="K5:K6" si="5">IF(ISERROR(FIND("P1", A5)), "", "X")</f>
        <v/>
      </c>
      <c r="L5" s="23" t="str">
        <f t="shared" ref="L5:L6" si="6">IF(ISERROR(FIND("P2", A5)), "", "X")</f>
        <v/>
      </c>
      <c r="M5" s="23" t="str">
        <f t="shared" ref="M5:M6" si="7">IF(ISERROR(FIND("P3", A5)), "", "X")</f>
        <v/>
      </c>
      <c r="N5" s="24" t="str">
        <f t="shared" ref="N5:N6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ref="D7" si="9">LEFT(B7, FIND("-", B7)-1)</f>
        <v>#VALUE!</v>
      </c>
      <c r="E7" s="23" t="e">
        <f t="shared" ref="E7" si="10">MID(B7, FIND("-", B7)+1, FIND("-", B7, FIND("-", B7)+1)-FIND("-", B7)-1)</f>
        <v>#VALUE!</v>
      </c>
      <c r="F7" s="23"/>
      <c r="G7" s="23" t="str">
        <f t="shared" ref="G7" si="11">IF(ISERROR(FIND("-D-", B7)), "", "X")</f>
        <v/>
      </c>
      <c r="H7" s="23" t="str">
        <f t="shared" ref="H7" si="12">IF(ISERROR(FIND("-C-", B7)), "", "X")</f>
        <v/>
      </c>
      <c r="I7" s="23" t="str">
        <f t="shared" ref="I7" si="13">IF(ISERROR(FIND("-E-", B7)), "", "X")</f>
        <v/>
      </c>
      <c r="J7" s="23"/>
      <c r="K7" s="23" t="str">
        <f t="shared" ref="K7" si="14">IF(ISERROR(FIND("P1", A7)), "", "X")</f>
        <v/>
      </c>
      <c r="L7" s="23" t="str">
        <f t="shared" ref="L7" si="15">IF(ISERROR(FIND("P2", A7)), "", "X")</f>
        <v/>
      </c>
      <c r="M7" s="23" t="str">
        <f t="shared" ref="M7" si="16">IF(ISERROR(FIND("P3", A7)), "", "X")</f>
        <v/>
      </c>
      <c r="N7" s="24" t="str">
        <f t="shared" ref="N7" si="17">IF(ISERROR(FIND("RO", B7)),
    IF(ISERROR(FIND("CD", B7)),
        IF(ISERROR(FIND("CG", B7)),
            IF(ISERROR(FIND("AG", B7)),
                IF(ISERROR(FIND("RT", B7)),
                    IF(ISERROR(FIND("RF", B7)),
                        IF(ISERROR(FIND("AM", B7)),
                            IF(ISERROR(FIND("RP", B7)),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ref="D8:D10" si="18">LEFT(B8, FIND("-", B8)-1)</f>
        <v>#VALUE!</v>
      </c>
      <c r="E8" s="23" t="e">
        <f t="shared" ref="E8:E10" si="19">MID(B8, FIND("-", B8)+1, FIND("-", B8, FIND("-", B8)+1)-FIND("-", B8)-1)</f>
        <v>#VALUE!</v>
      </c>
      <c r="F8" s="23"/>
      <c r="G8" s="23" t="str">
        <f t="shared" ref="G8:G10" si="20">IF(ISERROR(FIND("-D-", B8)), "", "X")</f>
        <v/>
      </c>
      <c r="H8" s="23" t="str">
        <f t="shared" ref="H8:H10" si="21">IF(ISERROR(FIND("-C-", B8)), "", "X")</f>
        <v/>
      </c>
      <c r="I8" s="23" t="str">
        <f t="shared" ref="I8:I10" si="22">IF(ISERROR(FIND("-E-", B8)), "", "X")</f>
        <v/>
      </c>
      <c r="J8" s="23"/>
      <c r="K8" s="23" t="str">
        <f t="shared" ref="K8:K10" si="23">IF(ISERROR(FIND("P1", A8)), "", "X")</f>
        <v/>
      </c>
      <c r="L8" s="23" t="str">
        <f t="shared" ref="L8:L10" si="24">IF(ISERROR(FIND("P2", A8)), "", "X")</f>
        <v/>
      </c>
      <c r="M8" s="23" t="str">
        <f t="shared" ref="M8:M10" si="25">IF(ISERROR(FIND("P3", A8)), "", "X")</f>
        <v/>
      </c>
      <c r="N8" s="24" t="str">
        <f t="shared" ref="N8:N10" si="26">IF(ISERROR(FIND("RO", B8)),
    IF(ISERROR(FIND("CD", B8)),
        IF(ISERROR(FIND("CG", B8)),
            IF(ISERROR(FIND("AG", B8)),
                IF(ISERROR(FIND("RT", B8)),
                    IF(ISERROR(FIND("RF", B8)),
                        IF(ISERROR(FIND("AM", B8)),
                            IF(ISERROR(FIND("RP", B8)),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18"/>
        <v>#VALUE!</v>
      </c>
      <c r="E9" s="23" t="e">
        <f t="shared" si="19"/>
        <v>#VALUE!</v>
      </c>
      <c r="F9" s="23"/>
      <c r="G9" s="23" t="str">
        <f t="shared" si="20"/>
        <v/>
      </c>
      <c r="H9" s="23" t="str">
        <f t="shared" si="21"/>
        <v/>
      </c>
      <c r="I9" s="23" t="str">
        <f t="shared" si="22"/>
        <v/>
      </c>
      <c r="J9" s="23"/>
      <c r="K9" s="23" t="str">
        <f t="shared" si="23"/>
        <v/>
      </c>
      <c r="L9" s="23" t="str">
        <f t="shared" si="24"/>
        <v/>
      </c>
      <c r="M9" s="23" t="str">
        <f t="shared" si="25"/>
        <v/>
      </c>
      <c r="N9" s="24" t="str">
        <f t="shared" si="26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18"/>
        <v>#VALUE!</v>
      </c>
      <c r="E10" s="23" t="e">
        <f t="shared" si="19"/>
        <v>#VALUE!</v>
      </c>
      <c r="F10" s="23"/>
      <c r="G10" s="23" t="str">
        <f t="shared" si="20"/>
        <v/>
      </c>
      <c r="H10" s="23" t="str">
        <f t="shared" si="21"/>
        <v/>
      </c>
      <c r="I10" s="23" t="str">
        <f t="shared" si="22"/>
        <v/>
      </c>
      <c r="J10" s="23"/>
      <c r="K10" s="23" t="str">
        <f t="shared" si="23"/>
        <v/>
      </c>
      <c r="L10" s="23" t="str">
        <f t="shared" si="24"/>
        <v/>
      </c>
      <c r="M10" s="23" t="str">
        <f t="shared" si="25"/>
        <v/>
      </c>
      <c r="N10" s="24" t="str">
        <f t="shared" si="26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ref="D11:D14" si="27">LEFT(B11, FIND("-", B11)-1)</f>
        <v>#VALUE!</v>
      </c>
      <c r="E11" s="6" t="e">
        <f t="shared" ref="E11:E14" si="28">MID(B11, FIND("-", B11)+1, FIND("-", B11, FIND("-", B11)+1)-FIND("-", B11)-1)</f>
        <v>#VALUE!</v>
      </c>
      <c r="F11" s="6"/>
      <c r="G11" s="6" t="str">
        <f t="shared" ref="G11:G14" si="29">IF(ISERROR(FIND("-D-", B11)), "", "X")</f>
        <v/>
      </c>
      <c r="H11" s="6" t="str">
        <f t="shared" ref="H11:H14" si="30">IF(ISERROR(FIND("-C-", B11)), "", "X")</f>
        <v/>
      </c>
      <c r="I11" s="6" t="str">
        <f t="shared" ref="I11:I14" si="31">IF(ISERROR(FIND("-E-", B11)), "", "X")</f>
        <v/>
      </c>
      <c r="J11" s="6"/>
      <c r="K11" s="6" t="str">
        <f t="shared" ref="K11:K14" si="32">IF(ISERROR(FIND("P1", A11)), "", "X")</f>
        <v/>
      </c>
      <c r="L11" s="6" t="str">
        <f t="shared" ref="L11:L14" si="33">IF(ISERROR(FIND("P2", A11)), "", "X")</f>
        <v/>
      </c>
      <c r="M11" s="6" t="str">
        <f t="shared" ref="M11:M14" si="34">IF(ISERROR(FIND("P3", A11)), "", "X")</f>
        <v/>
      </c>
      <c r="N11" s="3" t="str">
        <f t="shared" ref="N11:N14" si="35">IF(ISERROR(FIND("RO", B11)),
    IF(ISERROR(FIND("CD", B11)),
        IF(ISERROR(FIND("CG", B11)),
            IF(ISERROR(FIND("AG", B11)),
                IF(ISERROR(FIND("RT", B11)),
                    IF(ISERROR(FIND("RF", B11)),
                        IF(ISERROR(FIND("AM", B11)),
                            IF(ISERROR(FIND("RP", B11)),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27"/>
        <v>#VALUE!</v>
      </c>
      <c r="E12" s="6" t="e">
        <f t="shared" si="28"/>
        <v>#VALUE!</v>
      </c>
      <c r="F12" s="6"/>
      <c r="G12" s="6" t="str">
        <f t="shared" si="29"/>
        <v/>
      </c>
      <c r="H12" s="6" t="str">
        <f t="shared" si="30"/>
        <v/>
      </c>
      <c r="I12" s="6" t="str">
        <f t="shared" si="31"/>
        <v/>
      </c>
      <c r="J12" s="6"/>
      <c r="K12" s="6" t="str">
        <f t="shared" si="32"/>
        <v/>
      </c>
      <c r="L12" s="6" t="str">
        <f t="shared" si="33"/>
        <v/>
      </c>
      <c r="M12" s="6" t="str">
        <f t="shared" si="34"/>
        <v/>
      </c>
      <c r="N12" s="3" t="str">
        <f t="shared" si="35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27"/>
        <v>#VALUE!</v>
      </c>
      <c r="E13" s="6" t="e">
        <f t="shared" si="28"/>
        <v>#VALUE!</v>
      </c>
      <c r="F13" s="6"/>
      <c r="G13" s="6" t="str">
        <f t="shared" si="29"/>
        <v/>
      </c>
      <c r="H13" s="6" t="str">
        <f t="shared" si="30"/>
        <v/>
      </c>
      <c r="I13" s="6" t="str">
        <f t="shared" si="31"/>
        <v/>
      </c>
      <c r="J13" s="6"/>
      <c r="K13" s="6" t="str">
        <f t="shared" si="32"/>
        <v/>
      </c>
      <c r="L13" s="6" t="str">
        <f t="shared" si="33"/>
        <v/>
      </c>
      <c r="M13" s="6" t="str">
        <f t="shared" si="34"/>
        <v/>
      </c>
      <c r="N13" s="3" t="str">
        <f t="shared" si="35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27"/>
        <v>#VALUE!</v>
      </c>
      <c r="E14" s="6" t="e">
        <f t="shared" si="28"/>
        <v>#VALUE!</v>
      </c>
      <c r="F14" s="6"/>
      <c r="G14" s="6" t="str">
        <f t="shared" si="29"/>
        <v/>
      </c>
      <c r="H14" s="6" t="str">
        <f t="shared" si="30"/>
        <v/>
      </c>
      <c r="I14" s="6" t="str">
        <f t="shared" si="31"/>
        <v/>
      </c>
      <c r="J14" s="6"/>
      <c r="K14" s="6" t="str">
        <f t="shared" si="32"/>
        <v/>
      </c>
      <c r="L14" s="6" t="str">
        <f t="shared" si="33"/>
        <v/>
      </c>
      <c r="M14" s="6" t="str">
        <f t="shared" si="34"/>
        <v/>
      </c>
      <c r="N14" s="3" t="str">
        <f t="shared" si="35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33</v>
      </c>
      <c r="D20" s="17" t="e">
        <f t="shared" ref="D20:D31" si="36">LEFT(B20, FIND("-", B20)-1)</f>
        <v>#VALUE!</v>
      </c>
      <c r="E20" s="18" t="e">
        <f t="shared" ref="E20:E31" si="37">MID(B20, FIND("-", B20)+1, FIND("-", B20, FIND("-", B20)+1)-FIND("-", B20)-1)</f>
        <v>#VALUE!</v>
      </c>
      <c r="F20" s="18"/>
      <c r="G20" s="18" t="str">
        <f t="shared" ref="G20:G31" si="38">IF(ISERROR(FIND("-D-", B20)), "", "X")</f>
        <v/>
      </c>
      <c r="H20" s="18" t="str">
        <f t="shared" ref="H20:H31" si="39">IF(ISERROR(FIND("-C-", B20)), "", "X")</f>
        <v/>
      </c>
      <c r="I20" s="18" t="str">
        <f t="shared" ref="I20:I31" si="40">IF(ISERROR(FIND("-E-", B20)), "", "X")</f>
        <v/>
      </c>
      <c r="J20" s="18"/>
      <c r="K20" s="18" t="str">
        <f t="shared" ref="K20:K31" si="41">IF(ISERROR(FIND("P1", A20)), "", "X")</f>
        <v/>
      </c>
      <c r="L20" s="18" t="str">
        <f t="shared" ref="L20:L31" si="42">IF(ISERROR(FIND("P2", A20)), "", "X")</f>
        <v/>
      </c>
      <c r="M20" s="18" t="str">
        <f t="shared" ref="M20:M31" si="43">IF(ISERROR(FIND("P3", A20)), "", "X")</f>
        <v/>
      </c>
      <c r="N20" s="3" t="str">
        <f t="shared" ref="N20:N31" si="44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36"/>
        <v>#VALUE!</v>
      </c>
      <c r="E21" s="23" t="e">
        <f t="shared" si="37"/>
        <v>#VALUE!</v>
      </c>
      <c r="F21" s="23"/>
      <c r="G21" s="23" t="str">
        <f t="shared" si="38"/>
        <v/>
      </c>
      <c r="H21" s="23" t="str">
        <f t="shared" si="39"/>
        <v/>
      </c>
      <c r="I21" s="23" t="str">
        <f t="shared" si="40"/>
        <v/>
      </c>
      <c r="J21" s="23"/>
      <c r="K21" s="23" t="str">
        <f t="shared" si="41"/>
        <v/>
      </c>
      <c r="L21" s="23" t="str">
        <f t="shared" si="42"/>
        <v/>
      </c>
      <c r="M21" s="23" t="str">
        <f t="shared" si="43"/>
        <v/>
      </c>
      <c r="N21" s="24" t="str">
        <f t="shared" si="44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36"/>
        <v>#VALUE!</v>
      </c>
      <c r="E22" s="23" t="e">
        <f t="shared" si="37"/>
        <v>#VALUE!</v>
      </c>
      <c r="F22" s="23"/>
      <c r="G22" s="23" t="str">
        <f t="shared" si="38"/>
        <v/>
      </c>
      <c r="H22" s="23" t="str">
        <f t="shared" si="39"/>
        <v/>
      </c>
      <c r="I22" s="23" t="str">
        <f t="shared" si="40"/>
        <v/>
      </c>
      <c r="J22" s="23"/>
      <c r="K22" s="23" t="str">
        <f t="shared" si="41"/>
        <v/>
      </c>
      <c r="L22" s="23" t="str">
        <f t="shared" si="42"/>
        <v/>
      </c>
      <c r="M22" s="23" t="str">
        <f t="shared" si="43"/>
        <v/>
      </c>
      <c r="N22" s="24" t="str">
        <f t="shared" si="44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36"/>
        <v>#VALUE!</v>
      </c>
      <c r="E23" s="23" t="e">
        <f t="shared" si="37"/>
        <v>#VALUE!</v>
      </c>
      <c r="F23" s="23"/>
      <c r="G23" s="23" t="str">
        <f t="shared" si="38"/>
        <v/>
      </c>
      <c r="H23" s="23" t="str">
        <f t="shared" si="39"/>
        <v/>
      </c>
      <c r="I23" s="23" t="str">
        <f t="shared" si="40"/>
        <v/>
      </c>
      <c r="J23" s="23"/>
      <c r="K23" s="23" t="str">
        <f t="shared" si="41"/>
        <v/>
      </c>
      <c r="L23" s="23" t="str">
        <f t="shared" si="42"/>
        <v/>
      </c>
      <c r="M23" s="23" t="str">
        <f t="shared" si="43"/>
        <v/>
      </c>
      <c r="N23" s="24" t="str">
        <f t="shared" si="44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36"/>
        <v>#VALUE!</v>
      </c>
      <c r="E24" s="23" t="e">
        <f t="shared" si="37"/>
        <v>#VALUE!</v>
      </c>
      <c r="F24" s="23"/>
      <c r="G24" s="23" t="str">
        <f t="shared" si="38"/>
        <v/>
      </c>
      <c r="H24" s="23" t="str">
        <f t="shared" si="39"/>
        <v/>
      </c>
      <c r="I24" s="23" t="str">
        <f t="shared" si="40"/>
        <v/>
      </c>
      <c r="J24" s="23"/>
      <c r="K24" s="23" t="str">
        <f t="shared" si="41"/>
        <v/>
      </c>
      <c r="L24" s="23" t="str">
        <f t="shared" si="42"/>
        <v/>
      </c>
      <c r="M24" s="23" t="str">
        <f t="shared" si="43"/>
        <v/>
      </c>
      <c r="N24" s="24" t="str">
        <f t="shared" si="44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36"/>
        <v>#VALUE!</v>
      </c>
      <c r="E25" s="23" t="e">
        <f t="shared" si="37"/>
        <v>#VALUE!</v>
      </c>
      <c r="F25" s="23"/>
      <c r="G25" s="23" t="str">
        <f t="shared" si="38"/>
        <v/>
      </c>
      <c r="H25" s="23" t="str">
        <f t="shared" si="39"/>
        <v/>
      </c>
      <c r="I25" s="23" t="str">
        <f t="shared" si="40"/>
        <v/>
      </c>
      <c r="J25" s="23"/>
      <c r="K25" s="23" t="str">
        <f t="shared" si="41"/>
        <v/>
      </c>
      <c r="L25" s="23" t="str">
        <f t="shared" si="42"/>
        <v/>
      </c>
      <c r="M25" s="23" t="str">
        <f t="shared" si="43"/>
        <v/>
      </c>
      <c r="N25" s="24" t="str">
        <f t="shared" si="44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36"/>
        <v>#VALUE!</v>
      </c>
      <c r="E26" s="23" t="e">
        <f t="shared" si="37"/>
        <v>#VALUE!</v>
      </c>
      <c r="F26" s="23"/>
      <c r="G26" s="23" t="str">
        <f t="shared" si="38"/>
        <v/>
      </c>
      <c r="H26" s="23" t="str">
        <f t="shared" si="39"/>
        <v/>
      </c>
      <c r="I26" s="23" t="str">
        <f t="shared" si="40"/>
        <v/>
      </c>
      <c r="J26" s="23"/>
      <c r="K26" s="23" t="str">
        <f t="shared" si="41"/>
        <v/>
      </c>
      <c r="L26" s="23" t="str">
        <f t="shared" si="42"/>
        <v/>
      </c>
      <c r="M26" s="23" t="str">
        <f t="shared" si="43"/>
        <v/>
      </c>
      <c r="N26" s="24" t="str">
        <f t="shared" si="44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36"/>
        <v>#VALUE!</v>
      </c>
      <c r="E27" s="23" t="e">
        <f t="shared" si="37"/>
        <v>#VALUE!</v>
      </c>
      <c r="F27" s="23"/>
      <c r="G27" s="23" t="str">
        <f t="shared" si="38"/>
        <v/>
      </c>
      <c r="H27" s="23" t="str">
        <f t="shared" si="39"/>
        <v/>
      </c>
      <c r="I27" s="23" t="str">
        <f t="shared" si="40"/>
        <v/>
      </c>
      <c r="J27" s="23"/>
      <c r="K27" s="23" t="str">
        <f t="shared" si="41"/>
        <v/>
      </c>
      <c r="L27" s="23" t="str">
        <f t="shared" si="42"/>
        <v/>
      </c>
      <c r="M27" s="23" t="str">
        <f t="shared" si="43"/>
        <v/>
      </c>
      <c r="N27" s="24" t="str">
        <f t="shared" si="44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36"/>
        <v>#VALUE!</v>
      </c>
      <c r="E28" s="6" t="e">
        <f t="shared" si="37"/>
        <v>#VALUE!</v>
      </c>
      <c r="F28" s="6"/>
      <c r="G28" s="6" t="str">
        <f t="shared" si="38"/>
        <v/>
      </c>
      <c r="H28" s="6" t="str">
        <f t="shared" si="39"/>
        <v/>
      </c>
      <c r="I28" s="6" t="str">
        <f t="shared" si="40"/>
        <v/>
      </c>
      <c r="J28" s="6"/>
      <c r="K28" s="6" t="str">
        <f t="shared" si="41"/>
        <v/>
      </c>
      <c r="L28" s="6" t="str">
        <f t="shared" si="42"/>
        <v/>
      </c>
      <c r="M28" s="6" t="str">
        <f t="shared" si="43"/>
        <v/>
      </c>
      <c r="N28" s="3" t="str">
        <f t="shared" si="44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36"/>
        <v>#VALUE!</v>
      </c>
      <c r="E29" s="6" t="e">
        <f t="shared" si="37"/>
        <v>#VALUE!</v>
      </c>
      <c r="F29" s="6"/>
      <c r="G29" s="6" t="str">
        <f t="shared" si="38"/>
        <v/>
      </c>
      <c r="H29" s="6" t="str">
        <f t="shared" si="39"/>
        <v/>
      </c>
      <c r="I29" s="6" t="str">
        <f t="shared" si="40"/>
        <v/>
      </c>
      <c r="J29" s="6"/>
      <c r="K29" s="6" t="str">
        <f t="shared" si="41"/>
        <v/>
      </c>
      <c r="L29" s="6" t="str">
        <f t="shared" si="42"/>
        <v/>
      </c>
      <c r="M29" s="6" t="str">
        <f t="shared" si="43"/>
        <v/>
      </c>
      <c r="N29" s="3" t="str">
        <f t="shared" si="44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36"/>
        <v>#VALUE!</v>
      </c>
      <c r="E30" s="6" t="e">
        <f t="shared" si="37"/>
        <v>#VALUE!</v>
      </c>
      <c r="F30" s="6"/>
      <c r="G30" s="6" t="str">
        <f t="shared" si="38"/>
        <v/>
      </c>
      <c r="H30" s="6" t="str">
        <f t="shared" si="39"/>
        <v/>
      </c>
      <c r="I30" s="6" t="str">
        <f t="shared" si="40"/>
        <v/>
      </c>
      <c r="J30" s="6"/>
      <c r="K30" s="6" t="str">
        <f t="shared" si="41"/>
        <v/>
      </c>
      <c r="L30" s="6" t="str">
        <f t="shared" si="42"/>
        <v/>
      </c>
      <c r="M30" s="6" t="str">
        <f t="shared" si="43"/>
        <v/>
      </c>
      <c r="N30" s="3" t="str">
        <f t="shared" si="44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36"/>
        <v>#VALUE!</v>
      </c>
      <c r="E31" s="6" t="e">
        <f t="shared" si="37"/>
        <v>#VALUE!</v>
      </c>
      <c r="F31" s="6"/>
      <c r="G31" s="6" t="str">
        <f t="shared" si="38"/>
        <v/>
      </c>
      <c r="H31" s="6" t="str">
        <f t="shared" si="39"/>
        <v/>
      </c>
      <c r="I31" s="6" t="str">
        <f t="shared" si="40"/>
        <v/>
      </c>
      <c r="J31" s="6"/>
      <c r="K31" s="6" t="str">
        <f t="shared" si="41"/>
        <v/>
      </c>
      <c r="L31" s="6" t="str">
        <f t="shared" si="42"/>
        <v/>
      </c>
      <c r="M31" s="6" t="str">
        <f t="shared" si="43"/>
        <v/>
      </c>
      <c r="N31" s="3" t="str">
        <f t="shared" si="44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34</v>
      </c>
      <c r="D37" s="17" t="e">
        <f t="shared" ref="D37:D48" si="45">LEFT(B37, FIND("-", B37)-1)</f>
        <v>#VALUE!</v>
      </c>
      <c r="E37" s="18" t="e">
        <f t="shared" ref="E37:E48" si="46">MID(B37, FIND("-", B37)+1, FIND("-", B37, FIND("-", B37)+1)-FIND("-", B37)-1)</f>
        <v>#VALUE!</v>
      </c>
      <c r="F37" s="18"/>
      <c r="G37" s="18" t="str">
        <f t="shared" ref="G37:G48" si="47">IF(ISERROR(FIND("-D-", B37)), "", "X")</f>
        <v/>
      </c>
      <c r="H37" s="18" t="str">
        <f t="shared" ref="H37:H48" si="48">IF(ISERROR(FIND("-C-", B37)), "", "X")</f>
        <v/>
      </c>
      <c r="I37" s="18" t="str">
        <f t="shared" ref="I37:I48" si="49">IF(ISERROR(FIND("-E-", B37)), "", "X")</f>
        <v/>
      </c>
      <c r="J37" s="18"/>
      <c r="K37" s="18" t="str">
        <f t="shared" ref="K37:K48" si="50">IF(ISERROR(FIND("P1", A37)), "", "X")</f>
        <v/>
      </c>
      <c r="L37" s="18" t="str">
        <f t="shared" ref="L37:L48" si="51">IF(ISERROR(FIND("P2", A37)), "", "X")</f>
        <v/>
      </c>
      <c r="M37" s="18" t="str">
        <f t="shared" ref="M37:M48" si="52">IF(ISERROR(FIND("P3", A37)), "", "X")</f>
        <v/>
      </c>
      <c r="N37" s="3" t="str">
        <f t="shared" ref="N37:N48" si="53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45"/>
        <v>#VALUE!</v>
      </c>
      <c r="E38" s="23" t="e">
        <f t="shared" si="46"/>
        <v>#VALUE!</v>
      </c>
      <c r="F38" s="23"/>
      <c r="G38" s="23" t="str">
        <f t="shared" si="47"/>
        <v/>
      </c>
      <c r="H38" s="23" t="str">
        <f t="shared" si="48"/>
        <v/>
      </c>
      <c r="I38" s="23" t="str">
        <f t="shared" si="49"/>
        <v/>
      </c>
      <c r="J38" s="23"/>
      <c r="K38" s="23" t="str">
        <f t="shared" si="50"/>
        <v/>
      </c>
      <c r="L38" s="23" t="str">
        <f t="shared" si="51"/>
        <v/>
      </c>
      <c r="M38" s="23" t="str">
        <f t="shared" si="52"/>
        <v/>
      </c>
      <c r="N38" s="24" t="str">
        <f t="shared" si="53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45"/>
        <v>#VALUE!</v>
      </c>
      <c r="E39" s="23" t="e">
        <f t="shared" si="46"/>
        <v>#VALUE!</v>
      </c>
      <c r="F39" s="23"/>
      <c r="G39" s="23" t="str">
        <f t="shared" si="47"/>
        <v/>
      </c>
      <c r="H39" s="23" t="str">
        <f t="shared" si="48"/>
        <v/>
      </c>
      <c r="I39" s="23" t="str">
        <f t="shared" si="49"/>
        <v/>
      </c>
      <c r="J39" s="23"/>
      <c r="K39" s="23" t="str">
        <f t="shared" si="50"/>
        <v/>
      </c>
      <c r="L39" s="23" t="str">
        <f t="shared" si="51"/>
        <v/>
      </c>
      <c r="M39" s="23" t="str">
        <f t="shared" si="52"/>
        <v/>
      </c>
      <c r="N39" s="24" t="str">
        <f t="shared" si="53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45"/>
        <v>#VALUE!</v>
      </c>
      <c r="E40" s="23" t="e">
        <f t="shared" si="46"/>
        <v>#VALUE!</v>
      </c>
      <c r="F40" s="23"/>
      <c r="G40" s="23" t="str">
        <f t="shared" si="47"/>
        <v/>
      </c>
      <c r="H40" s="23" t="str">
        <f t="shared" si="48"/>
        <v/>
      </c>
      <c r="I40" s="23" t="str">
        <f t="shared" si="49"/>
        <v/>
      </c>
      <c r="J40" s="23"/>
      <c r="K40" s="23" t="str">
        <f t="shared" si="50"/>
        <v/>
      </c>
      <c r="L40" s="23" t="str">
        <f t="shared" si="51"/>
        <v/>
      </c>
      <c r="M40" s="23" t="str">
        <f t="shared" si="52"/>
        <v/>
      </c>
      <c r="N40" s="24" t="str">
        <f t="shared" si="53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45"/>
        <v>#VALUE!</v>
      </c>
      <c r="E41" s="23" t="e">
        <f t="shared" si="46"/>
        <v>#VALUE!</v>
      </c>
      <c r="F41" s="23"/>
      <c r="G41" s="23" t="str">
        <f t="shared" si="47"/>
        <v/>
      </c>
      <c r="H41" s="23" t="str">
        <f t="shared" si="48"/>
        <v/>
      </c>
      <c r="I41" s="23" t="str">
        <f t="shared" si="49"/>
        <v/>
      </c>
      <c r="J41" s="23"/>
      <c r="K41" s="23" t="str">
        <f t="shared" si="50"/>
        <v/>
      </c>
      <c r="L41" s="23" t="str">
        <f t="shared" si="51"/>
        <v/>
      </c>
      <c r="M41" s="23" t="str">
        <f t="shared" si="52"/>
        <v/>
      </c>
      <c r="N41" s="24" t="str">
        <f t="shared" si="53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45"/>
        <v>#VALUE!</v>
      </c>
      <c r="E42" s="23" t="e">
        <f t="shared" si="46"/>
        <v>#VALUE!</v>
      </c>
      <c r="F42" s="23"/>
      <c r="G42" s="23" t="str">
        <f t="shared" si="47"/>
        <v/>
      </c>
      <c r="H42" s="23" t="str">
        <f t="shared" si="48"/>
        <v/>
      </c>
      <c r="I42" s="23" t="str">
        <f t="shared" si="49"/>
        <v/>
      </c>
      <c r="J42" s="23"/>
      <c r="K42" s="23" t="str">
        <f t="shared" si="50"/>
        <v/>
      </c>
      <c r="L42" s="23" t="str">
        <f t="shared" si="51"/>
        <v/>
      </c>
      <c r="M42" s="23" t="str">
        <f t="shared" si="52"/>
        <v/>
      </c>
      <c r="N42" s="24" t="str">
        <f t="shared" si="53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45"/>
        <v>#VALUE!</v>
      </c>
      <c r="E43" s="23" t="e">
        <f t="shared" si="46"/>
        <v>#VALUE!</v>
      </c>
      <c r="F43" s="23"/>
      <c r="G43" s="23" t="str">
        <f t="shared" si="47"/>
        <v/>
      </c>
      <c r="H43" s="23" t="str">
        <f t="shared" si="48"/>
        <v/>
      </c>
      <c r="I43" s="23" t="str">
        <f t="shared" si="49"/>
        <v/>
      </c>
      <c r="J43" s="23"/>
      <c r="K43" s="23" t="str">
        <f t="shared" si="50"/>
        <v/>
      </c>
      <c r="L43" s="23" t="str">
        <f t="shared" si="51"/>
        <v/>
      </c>
      <c r="M43" s="23" t="str">
        <f t="shared" si="52"/>
        <v/>
      </c>
      <c r="N43" s="24" t="str">
        <f t="shared" si="53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45"/>
        <v>#VALUE!</v>
      </c>
      <c r="E44" s="23" t="e">
        <f t="shared" si="46"/>
        <v>#VALUE!</v>
      </c>
      <c r="F44" s="23"/>
      <c r="G44" s="23" t="str">
        <f t="shared" si="47"/>
        <v/>
      </c>
      <c r="H44" s="23" t="str">
        <f t="shared" si="48"/>
        <v/>
      </c>
      <c r="I44" s="23" t="str">
        <f t="shared" si="49"/>
        <v/>
      </c>
      <c r="J44" s="23"/>
      <c r="K44" s="23" t="str">
        <f t="shared" si="50"/>
        <v/>
      </c>
      <c r="L44" s="23" t="str">
        <f t="shared" si="51"/>
        <v/>
      </c>
      <c r="M44" s="23" t="str">
        <f t="shared" si="52"/>
        <v/>
      </c>
      <c r="N44" s="24" t="str">
        <f t="shared" si="53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45"/>
        <v>#VALUE!</v>
      </c>
      <c r="E45" s="6" t="e">
        <f t="shared" si="46"/>
        <v>#VALUE!</v>
      </c>
      <c r="F45" s="6"/>
      <c r="G45" s="6" t="str">
        <f t="shared" si="47"/>
        <v/>
      </c>
      <c r="H45" s="6" t="str">
        <f t="shared" si="48"/>
        <v/>
      </c>
      <c r="I45" s="6" t="str">
        <f t="shared" si="49"/>
        <v/>
      </c>
      <c r="J45" s="6"/>
      <c r="K45" s="6" t="str">
        <f t="shared" si="50"/>
        <v/>
      </c>
      <c r="L45" s="6" t="str">
        <f t="shared" si="51"/>
        <v/>
      </c>
      <c r="M45" s="6" t="str">
        <f t="shared" si="52"/>
        <v/>
      </c>
      <c r="N45" s="3" t="str">
        <f t="shared" si="53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45"/>
        <v>#VALUE!</v>
      </c>
      <c r="E46" s="6" t="e">
        <f t="shared" si="46"/>
        <v>#VALUE!</v>
      </c>
      <c r="F46" s="6"/>
      <c r="G46" s="6" t="str">
        <f t="shared" si="47"/>
        <v/>
      </c>
      <c r="H46" s="6" t="str">
        <f t="shared" si="48"/>
        <v/>
      </c>
      <c r="I46" s="6" t="str">
        <f t="shared" si="49"/>
        <v/>
      </c>
      <c r="J46" s="6"/>
      <c r="K46" s="6" t="str">
        <f t="shared" si="50"/>
        <v/>
      </c>
      <c r="L46" s="6" t="str">
        <f t="shared" si="51"/>
        <v/>
      </c>
      <c r="M46" s="6" t="str">
        <f t="shared" si="52"/>
        <v/>
      </c>
      <c r="N46" s="3" t="str">
        <f t="shared" si="53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45"/>
        <v>#VALUE!</v>
      </c>
      <c r="E47" s="6" t="e">
        <f t="shared" si="46"/>
        <v>#VALUE!</v>
      </c>
      <c r="F47" s="6"/>
      <c r="G47" s="6" t="str">
        <f t="shared" si="47"/>
        <v/>
      </c>
      <c r="H47" s="6" t="str">
        <f t="shared" si="48"/>
        <v/>
      </c>
      <c r="I47" s="6" t="str">
        <f t="shared" si="49"/>
        <v/>
      </c>
      <c r="J47" s="6"/>
      <c r="K47" s="6" t="str">
        <f t="shared" si="50"/>
        <v/>
      </c>
      <c r="L47" s="6" t="str">
        <f t="shared" si="51"/>
        <v/>
      </c>
      <c r="M47" s="6" t="str">
        <f t="shared" si="52"/>
        <v/>
      </c>
      <c r="N47" s="3" t="str">
        <f t="shared" si="53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45"/>
        <v>#VALUE!</v>
      </c>
      <c r="E48" s="6" t="e">
        <f t="shared" si="46"/>
        <v>#VALUE!</v>
      </c>
      <c r="F48" s="6"/>
      <c r="G48" s="6" t="str">
        <f t="shared" si="47"/>
        <v/>
      </c>
      <c r="H48" s="6" t="str">
        <f t="shared" si="48"/>
        <v/>
      </c>
      <c r="I48" s="6" t="str">
        <f t="shared" si="49"/>
        <v/>
      </c>
      <c r="J48" s="6"/>
      <c r="K48" s="6" t="str">
        <f t="shared" si="50"/>
        <v/>
      </c>
      <c r="L48" s="6" t="str">
        <f t="shared" si="51"/>
        <v/>
      </c>
      <c r="M48" s="6" t="str">
        <f t="shared" si="52"/>
        <v/>
      </c>
      <c r="N48" s="3" t="str">
        <f t="shared" si="53"/>
        <v/>
      </c>
      <c r="O48" s="14"/>
      <c r="P48" s="15"/>
      <c r="Q48" s="7"/>
    </row>
    <row r="49" spans="1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  <row r="51" spans="1:17" ht="20.100000000000001" customHeight="1" x14ac:dyDescent="0.4">
      <c r="A51" s="21" t="s">
        <v>15</v>
      </c>
      <c r="B51" s="21" t="s">
        <v>19</v>
      </c>
      <c r="C51" s="34" t="s">
        <v>18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ht="20.100000000000001" customHeight="1" x14ac:dyDescent="0.35">
      <c r="A52" s="4"/>
      <c r="B52" s="4"/>
      <c r="C52" s="35"/>
      <c r="D52" s="36"/>
      <c r="E52" s="37"/>
      <c r="F52" s="10"/>
      <c r="G52" s="38" t="s">
        <v>0</v>
      </c>
      <c r="H52" s="39"/>
      <c r="I52" s="40"/>
      <c r="J52" s="10"/>
      <c r="K52" s="41" t="s">
        <v>1</v>
      </c>
      <c r="L52" s="42"/>
      <c r="M52" s="43"/>
      <c r="N52" s="11"/>
      <c r="O52" s="11"/>
      <c r="P52" s="11"/>
      <c r="Q52" s="11"/>
    </row>
    <row r="53" spans="1:17" ht="20.100000000000001" customHeight="1" x14ac:dyDescent="0.3">
      <c r="A53" s="5"/>
      <c r="B53" s="5"/>
      <c r="C53" s="1" t="s">
        <v>6</v>
      </c>
      <c r="D53" s="9" t="s">
        <v>7</v>
      </c>
      <c r="E53" s="1" t="s">
        <v>8</v>
      </c>
      <c r="F53" s="2" t="s">
        <v>16</v>
      </c>
      <c r="G53" s="12" t="s">
        <v>9</v>
      </c>
      <c r="H53" s="12" t="s">
        <v>10</v>
      </c>
      <c r="I53" s="12" t="s">
        <v>11</v>
      </c>
      <c r="J53" s="2" t="s">
        <v>17</v>
      </c>
      <c r="K53" s="13" t="s">
        <v>12</v>
      </c>
      <c r="L53" s="13" t="s">
        <v>13</v>
      </c>
      <c r="M53" s="13" t="s">
        <v>14</v>
      </c>
      <c r="N53" s="11" t="s">
        <v>2</v>
      </c>
      <c r="O53" s="11" t="s">
        <v>3</v>
      </c>
      <c r="P53" s="11" t="s">
        <v>4</v>
      </c>
      <c r="Q53" s="11" t="s">
        <v>5</v>
      </c>
    </row>
    <row r="54" spans="1:17" ht="20.100000000000001" customHeight="1" x14ac:dyDescent="0.35">
      <c r="A54" s="28"/>
      <c r="B54" s="28"/>
      <c r="C54" s="29" t="s">
        <v>35</v>
      </c>
      <c r="D54" s="17" t="e">
        <f t="shared" ref="D54:D65" si="54">LEFT(B54, FIND("-", B54)-1)</f>
        <v>#VALUE!</v>
      </c>
      <c r="E54" s="18" t="e">
        <f t="shared" ref="E54:E65" si="55">MID(B54, FIND("-", B54)+1, FIND("-", B54, FIND("-", B54)+1)-FIND("-", B54)-1)</f>
        <v>#VALUE!</v>
      </c>
      <c r="F54" s="18"/>
      <c r="G54" s="18" t="str">
        <f t="shared" ref="G54:G65" si="56">IF(ISERROR(FIND("-D-", B54)), "", "X")</f>
        <v/>
      </c>
      <c r="H54" s="18" t="str">
        <f t="shared" ref="H54:H65" si="57">IF(ISERROR(FIND("-C-", B54)), "", "X")</f>
        <v/>
      </c>
      <c r="I54" s="18" t="str">
        <f t="shared" ref="I54:I65" si="58">IF(ISERROR(FIND("-E-", B54)), "", "X")</f>
        <v/>
      </c>
      <c r="J54" s="18"/>
      <c r="K54" s="18" t="str">
        <f t="shared" ref="K54:K65" si="59">IF(ISERROR(FIND("P1", A54)), "", "X")</f>
        <v/>
      </c>
      <c r="L54" s="18" t="str">
        <f t="shared" ref="L54:L65" si="60">IF(ISERROR(FIND("P2", A54)), "", "X")</f>
        <v/>
      </c>
      <c r="M54" s="18" t="str">
        <f t="shared" ref="M54:M65" si="61">IF(ISERROR(FIND("P3", A54)), "", "X")</f>
        <v/>
      </c>
      <c r="N54" s="3" t="str">
        <f t="shared" ref="N54:N65" si="62"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4" s="16"/>
      <c r="P54" s="19"/>
      <c r="Q54" s="20"/>
    </row>
    <row r="55" spans="1:17" ht="20.100000000000001" customHeight="1" x14ac:dyDescent="0.35">
      <c r="A55" s="28"/>
      <c r="B55" s="28"/>
      <c r="C55" s="30"/>
      <c r="D55" s="22" t="e">
        <f t="shared" si="54"/>
        <v>#VALUE!</v>
      </c>
      <c r="E55" s="23" t="e">
        <f t="shared" si="55"/>
        <v>#VALUE!</v>
      </c>
      <c r="F55" s="23"/>
      <c r="G55" s="23" t="str">
        <f t="shared" si="56"/>
        <v/>
      </c>
      <c r="H55" s="23" t="str">
        <f t="shared" si="57"/>
        <v/>
      </c>
      <c r="I55" s="23" t="str">
        <f t="shared" si="58"/>
        <v/>
      </c>
      <c r="J55" s="23"/>
      <c r="K55" s="23" t="str">
        <f t="shared" si="59"/>
        <v/>
      </c>
      <c r="L55" s="23" t="str">
        <f t="shared" si="60"/>
        <v/>
      </c>
      <c r="M55" s="23" t="str">
        <f t="shared" si="61"/>
        <v/>
      </c>
      <c r="N55" s="24" t="str">
        <f t="shared" si="62"/>
        <v/>
      </c>
      <c r="O55" s="25"/>
      <c r="P55" s="26"/>
      <c r="Q55" s="27"/>
    </row>
    <row r="56" spans="1:17" ht="20.100000000000001" customHeight="1" x14ac:dyDescent="0.35">
      <c r="A56" s="28"/>
      <c r="B56" s="28"/>
      <c r="C56" s="30"/>
      <c r="D56" s="22" t="e">
        <f t="shared" si="54"/>
        <v>#VALUE!</v>
      </c>
      <c r="E56" s="23" t="e">
        <f t="shared" si="55"/>
        <v>#VALUE!</v>
      </c>
      <c r="F56" s="23"/>
      <c r="G56" s="23" t="str">
        <f t="shared" si="56"/>
        <v/>
      </c>
      <c r="H56" s="23" t="str">
        <f t="shared" si="57"/>
        <v/>
      </c>
      <c r="I56" s="23" t="str">
        <f t="shared" si="58"/>
        <v/>
      </c>
      <c r="J56" s="23"/>
      <c r="K56" s="23" t="str">
        <f t="shared" si="59"/>
        <v/>
      </c>
      <c r="L56" s="23" t="str">
        <f t="shared" si="60"/>
        <v/>
      </c>
      <c r="M56" s="23" t="str">
        <f t="shared" si="61"/>
        <v/>
      </c>
      <c r="N56" s="24" t="str">
        <f t="shared" si="62"/>
        <v/>
      </c>
      <c r="O56" s="25"/>
      <c r="P56" s="26"/>
      <c r="Q56" s="27"/>
    </row>
    <row r="57" spans="1:17" ht="20.100000000000001" customHeight="1" x14ac:dyDescent="0.35">
      <c r="A57" s="28"/>
      <c r="B57" s="28"/>
      <c r="C57" s="30"/>
      <c r="D57" s="22" t="e">
        <f t="shared" si="54"/>
        <v>#VALUE!</v>
      </c>
      <c r="E57" s="23" t="e">
        <f t="shared" si="55"/>
        <v>#VALUE!</v>
      </c>
      <c r="F57" s="23"/>
      <c r="G57" s="23" t="str">
        <f t="shared" si="56"/>
        <v/>
      </c>
      <c r="H57" s="23" t="str">
        <f t="shared" si="57"/>
        <v/>
      </c>
      <c r="I57" s="23" t="str">
        <f t="shared" si="58"/>
        <v/>
      </c>
      <c r="J57" s="23"/>
      <c r="K57" s="23" t="str">
        <f t="shared" si="59"/>
        <v/>
      </c>
      <c r="L57" s="23" t="str">
        <f t="shared" si="60"/>
        <v/>
      </c>
      <c r="M57" s="23" t="str">
        <f t="shared" si="61"/>
        <v/>
      </c>
      <c r="N57" s="24" t="str">
        <f t="shared" si="62"/>
        <v/>
      </c>
      <c r="O57" s="25"/>
      <c r="P57" s="26"/>
      <c r="Q57" s="27"/>
    </row>
    <row r="58" spans="1:17" ht="20.100000000000001" customHeight="1" x14ac:dyDescent="0.35">
      <c r="A58" s="28"/>
      <c r="B58" s="28"/>
      <c r="C58" s="30"/>
      <c r="D58" s="22" t="e">
        <f t="shared" si="54"/>
        <v>#VALUE!</v>
      </c>
      <c r="E58" s="23" t="e">
        <f t="shared" si="55"/>
        <v>#VALUE!</v>
      </c>
      <c r="F58" s="23"/>
      <c r="G58" s="23" t="str">
        <f t="shared" si="56"/>
        <v/>
      </c>
      <c r="H58" s="23" t="str">
        <f t="shared" si="57"/>
        <v/>
      </c>
      <c r="I58" s="23" t="str">
        <f t="shared" si="58"/>
        <v/>
      </c>
      <c r="J58" s="23"/>
      <c r="K58" s="23" t="str">
        <f t="shared" si="59"/>
        <v/>
      </c>
      <c r="L58" s="23" t="str">
        <f t="shared" si="60"/>
        <v/>
      </c>
      <c r="M58" s="23" t="str">
        <f t="shared" si="61"/>
        <v/>
      </c>
      <c r="N58" s="24" t="str">
        <f t="shared" si="62"/>
        <v/>
      </c>
      <c r="O58" s="25"/>
      <c r="P58" s="26"/>
      <c r="Q58" s="27"/>
    </row>
    <row r="59" spans="1:17" ht="20.100000000000001" customHeight="1" x14ac:dyDescent="0.35">
      <c r="A59" s="16"/>
      <c r="B59" s="16"/>
      <c r="C59" s="30"/>
      <c r="D59" s="22" t="e">
        <f t="shared" si="54"/>
        <v>#VALUE!</v>
      </c>
      <c r="E59" s="23" t="e">
        <f t="shared" si="55"/>
        <v>#VALUE!</v>
      </c>
      <c r="F59" s="23"/>
      <c r="G59" s="23" t="str">
        <f t="shared" si="56"/>
        <v/>
      </c>
      <c r="H59" s="23" t="str">
        <f t="shared" si="57"/>
        <v/>
      </c>
      <c r="I59" s="23" t="str">
        <f t="shared" si="58"/>
        <v/>
      </c>
      <c r="J59" s="23"/>
      <c r="K59" s="23" t="str">
        <f t="shared" si="59"/>
        <v/>
      </c>
      <c r="L59" s="23" t="str">
        <f t="shared" si="60"/>
        <v/>
      </c>
      <c r="M59" s="23" t="str">
        <f t="shared" si="61"/>
        <v/>
      </c>
      <c r="N59" s="24" t="str">
        <f t="shared" si="62"/>
        <v/>
      </c>
      <c r="O59" s="25"/>
      <c r="P59" s="26"/>
      <c r="Q59" s="27"/>
    </row>
    <row r="60" spans="1:17" ht="20.100000000000001" customHeight="1" x14ac:dyDescent="0.35">
      <c r="A60" s="16"/>
      <c r="B60" s="16"/>
      <c r="C60" s="30"/>
      <c r="D60" s="22" t="e">
        <f t="shared" si="54"/>
        <v>#VALUE!</v>
      </c>
      <c r="E60" s="23" t="e">
        <f t="shared" si="55"/>
        <v>#VALUE!</v>
      </c>
      <c r="F60" s="23"/>
      <c r="G60" s="23" t="str">
        <f t="shared" si="56"/>
        <v/>
      </c>
      <c r="H60" s="23" t="str">
        <f t="shared" si="57"/>
        <v/>
      </c>
      <c r="I60" s="23" t="str">
        <f t="shared" si="58"/>
        <v/>
      </c>
      <c r="J60" s="23"/>
      <c r="K60" s="23" t="str">
        <f t="shared" si="59"/>
        <v/>
      </c>
      <c r="L60" s="23" t="str">
        <f t="shared" si="60"/>
        <v/>
      </c>
      <c r="M60" s="23" t="str">
        <f t="shared" si="61"/>
        <v/>
      </c>
      <c r="N60" s="24" t="str">
        <f t="shared" si="62"/>
        <v/>
      </c>
      <c r="O60" s="25"/>
      <c r="P60" s="26"/>
      <c r="Q60" s="27"/>
    </row>
    <row r="61" spans="1:17" ht="20.100000000000001" customHeight="1" x14ac:dyDescent="0.35">
      <c r="A61" s="16"/>
      <c r="B61" s="16"/>
      <c r="C61" s="30"/>
      <c r="D61" s="22" t="e">
        <f t="shared" si="54"/>
        <v>#VALUE!</v>
      </c>
      <c r="E61" s="23" t="e">
        <f t="shared" si="55"/>
        <v>#VALUE!</v>
      </c>
      <c r="F61" s="23"/>
      <c r="G61" s="23" t="str">
        <f t="shared" si="56"/>
        <v/>
      </c>
      <c r="H61" s="23" t="str">
        <f t="shared" si="57"/>
        <v/>
      </c>
      <c r="I61" s="23" t="str">
        <f t="shared" si="58"/>
        <v/>
      </c>
      <c r="J61" s="23"/>
      <c r="K61" s="23" t="str">
        <f t="shared" si="59"/>
        <v/>
      </c>
      <c r="L61" s="23" t="str">
        <f t="shared" si="60"/>
        <v/>
      </c>
      <c r="M61" s="23" t="str">
        <f t="shared" si="61"/>
        <v/>
      </c>
      <c r="N61" s="24" t="str">
        <f t="shared" si="62"/>
        <v/>
      </c>
      <c r="O61" s="25"/>
      <c r="P61" s="26"/>
      <c r="Q61" s="27"/>
    </row>
    <row r="62" spans="1:17" ht="20.100000000000001" customHeight="1" x14ac:dyDescent="0.35">
      <c r="A62" s="14"/>
      <c r="B62" s="14"/>
      <c r="C62" s="30"/>
      <c r="D62" s="8" t="e">
        <f t="shared" si="54"/>
        <v>#VALUE!</v>
      </c>
      <c r="E62" s="6" t="e">
        <f t="shared" si="55"/>
        <v>#VALUE!</v>
      </c>
      <c r="F62" s="6"/>
      <c r="G62" s="6" t="str">
        <f t="shared" si="56"/>
        <v/>
      </c>
      <c r="H62" s="6" t="str">
        <f t="shared" si="57"/>
        <v/>
      </c>
      <c r="I62" s="6" t="str">
        <f t="shared" si="58"/>
        <v/>
      </c>
      <c r="J62" s="6"/>
      <c r="K62" s="6" t="str">
        <f t="shared" si="59"/>
        <v/>
      </c>
      <c r="L62" s="6" t="str">
        <f t="shared" si="60"/>
        <v/>
      </c>
      <c r="M62" s="6" t="str">
        <f t="shared" si="61"/>
        <v/>
      </c>
      <c r="N62" s="3" t="str">
        <f t="shared" si="62"/>
        <v/>
      </c>
      <c r="O62" s="14"/>
      <c r="P62" s="15"/>
      <c r="Q62" s="7"/>
    </row>
    <row r="63" spans="1:17" ht="20.100000000000001" customHeight="1" x14ac:dyDescent="0.35">
      <c r="A63" s="14"/>
      <c r="B63" s="14"/>
      <c r="C63" s="30"/>
      <c r="D63" s="8" t="e">
        <f t="shared" si="54"/>
        <v>#VALUE!</v>
      </c>
      <c r="E63" s="6" t="e">
        <f t="shared" si="55"/>
        <v>#VALUE!</v>
      </c>
      <c r="F63" s="6"/>
      <c r="G63" s="6" t="str">
        <f t="shared" si="56"/>
        <v/>
      </c>
      <c r="H63" s="6" t="str">
        <f t="shared" si="57"/>
        <v/>
      </c>
      <c r="I63" s="6" t="str">
        <f t="shared" si="58"/>
        <v/>
      </c>
      <c r="J63" s="6"/>
      <c r="K63" s="6" t="str">
        <f t="shared" si="59"/>
        <v/>
      </c>
      <c r="L63" s="6" t="str">
        <f t="shared" si="60"/>
        <v/>
      </c>
      <c r="M63" s="6" t="str">
        <f t="shared" si="61"/>
        <v/>
      </c>
      <c r="N63" s="3" t="str">
        <f t="shared" si="62"/>
        <v/>
      </c>
      <c r="O63" s="14"/>
      <c r="P63" s="15"/>
      <c r="Q63" s="7"/>
    </row>
    <row r="64" spans="1:17" ht="20.100000000000001" customHeight="1" x14ac:dyDescent="0.35">
      <c r="A64" s="14"/>
      <c r="B64" s="14"/>
      <c r="C64" s="30"/>
      <c r="D64" s="8" t="e">
        <f t="shared" si="54"/>
        <v>#VALUE!</v>
      </c>
      <c r="E64" s="6" t="e">
        <f t="shared" si="55"/>
        <v>#VALUE!</v>
      </c>
      <c r="F64" s="6"/>
      <c r="G64" s="6" t="str">
        <f t="shared" si="56"/>
        <v/>
      </c>
      <c r="H64" s="6" t="str">
        <f t="shared" si="57"/>
        <v/>
      </c>
      <c r="I64" s="6" t="str">
        <f t="shared" si="58"/>
        <v/>
      </c>
      <c r="J64" s="6"/>
      <c r="K64" s="6" t="str">
        <f t="shared" si="59"/>
        <v/>
      </c>
      <c r="L64" s="6" t="str">
        <f t="shared" si="60"/>
        <v/>
      </c>
      <c r="M64" s="6" t="str">
        <f t="shared" si="61"/>
        <v/>
      </c>
      <c r="N64" s="3" t="str">
        <f t="shared" si="62"/>
        <v/>
      </c>
      <c r="O64" s="14"/>
      <c r="P64" s="15"/>
      <c r="Q64" s="7"/>
    </row>
    <row r="65" spans="1:17" ht="20.100000000000001" customHeight="1" x14ac:dyDescent="0.35">
      <c r="A65" s="14"/>
      <c r="B65" s="14"/>
      <c r="C65" s="30"/>
      <c r="D65" s="8" t="e">
        <f t="shared" si="54"/>
        <v>#VALUE!</v>
      </c>
      <c r="E65" s="6" t="e">
        <f t="shared" si="55"/>
        <v>#VALUE!</v>
      </c>
      <c r="F65" s="6"/>
      <c r="G65" s="6" t="str">
        <f t="shared" si="56"/>
        <v/>
      </c>
      <c r="H65" s="6" t="str">
        <f t="shared" si="57"/>
        <v/>
      </c>
      <c r="I65" s="6" t="str">
        <f t="shared" si="58"/>
        <v/>
      </c>
      <c r="J65" s="6"/>
      <c r="K65" s="6" t="str">
        <f t="shared" si="59"/>
        <v/>
      </c>
      <c r="L65" s="6" t="str">
        <f t="shared" si="60"/>
        <v/>
      </c>
      <c r="M65" s="6" t="str">
        <f t="shared" si="61"/>
        <v/>
      </c>
      <c r="N65" s="3" t="str">
        <f t="shared" si="62"/>
        <v/>
      </c>
      <c r="O65" s="14"/>
      <c r="P65" s="15"/>
      <c r="Q65" s="7"/>
    </row>
    <row r="66" spans="1:17" ht="20.100000000000001" customHeight="1" x14ac:dyDescent="0.25">
      <c r="C66" s="31" t="str">
        <f>COUNTIF(E54:E65, "RC") + COUNTIF(E54:E65, "RI") +  COUNTIF(E54:E65, "AC") + COUNTIF(E54:E65, "RR") + COUNTIF(E54:E65, "RU") + COUNTIF(E54:E65, "GR") + COUNTIF(E54:E65, "RP") + COUNTIF(E54:E65, "GC") + COUNTIF(E54:E65, "RB") &amp; " ROLOS (" &amp;
IF(COUNTIF(E54:E65, "RC") &gt; 0, COUNTIF(E54:E65, "RC") &amp; " RC; ", "") &amp;
IF(COUNTIF(E54:E65, "RI") &gt; 0, COUNTIF(E54:E65, "RI") &amp; " RI; ", "") &amp;
IF(COUNTIF(E54:E65, "RR") &gt; 0, COUNTIF(E54:E65, "RR") &amp; " RR; ", "") &amp;
IF(COUNTIF(E54:E65, "RU") &gt; 0, COUNTIF(E54:E65, "RU") &amp; " RU; ", "") &amp;
IF(COUNTIF(E54:E65, "GR") &gt; 0, COUNTIF(E54:E65, "GR") &amp; " GR; ", "") &amp;
IF(COUNTIF(E54:E65, "RP") &gt; 0, COUNTIF(E54:E65, "RP") &amp; " RP; ", "") &amp;
IF(COUNTIF(E54:E65, "GC") &gt; 0, COUNTIF(E54:E65, "GC") &amp; " GC; ", "") &amp;
IF(COUNTIF(E54:E65, "RB") &gt; 0, COUNTIF(E54:E65, "RB") &amp; " RB", "") &amp;
IF(COUNTIF(E54:E65, "AC") &gt; 0, COUNTIF(E54:E65, "AC") &amp; "AC", "")
&amp;")"</f>
        <v>0 ROLOS ()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</row>
  </sheetData>
  <mergeCells count="24">
    <mergeCell ref="C5:C14"/>
    <mergeCell ref="C2:Q2"/>
    <mergeCell ref="C15:Q15"/>
    <mergeCell ref="C3:E3"/>
    <mergeCell ref="G3:I3"/>
    <mergeCell ref="K3:M3"/>
    <mergeCell ref="C17:Q17"/>
    <mergeCell ref="C18:E18"/>
    <mergeCell ref="G18:I18"/>
    <mergeCell ref="K18:M18"/>
    <mergeCell ref="C20:C31"/>
    <mergeCell ref="C32:Q32"/>
    <mergeCell ref="C34:Q34"/>
    <mergeCell ref="C35:E35"/>
    <mergeCell ref="G35:I35"/>
    <mergeCell ref="C54:C65"/>
    <mergeCell ref="C66:Q66"/>
    <mergeCell ref="K35:M35"/>
    <mergeCell ref="C37:C48"/>
    <mergeCell ref="C49:Q49"/>
    <mergeCell ref="C51:Q51"/>
    <mergeCell ref="C52:E52"/>
    <mergeCell ref="G52:I52"/>
    <mergeCell ref="K52:M52"/>
  </mergeCells>
  <pageMargins left="0.51181102362204722" right="0.51181102362204722" top="0.78740157480314965" bottom="0.78740157480314965" header="0.31496062992125984" footer="0.31496062992125984"/>
  <pageSetup paperSize="9" scale="60" fitToHeight="0" orientation="landscape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4095-D333-48E5-8991-9ED35FA61C87}">
  <dimension ref="A2:Q116"/>
  <sheetViews>
    <sheetView topLeftCell="A37" zoomScale="55" zoomScaleNormal="55" workbookViewId="0">
      <selection activeCell="A117" sqref="A117:XFD134"/>
    </sheetView>
  </sheetViews>
  <sheetFormatPr defaultRowHeight="15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36</v>
      </c>
      <c r="D5" s="22" t="e">
        <f t="shared" ref="D5:D14" si="0">LEFT(B5, FIND("-", B5)-1)</f>
        <v>#VALUE!</v>
      </c>
      <c r="E5" s="23" t="e">
        <f t="shared" ref="E5:E14" si="1">MID(B5, FIND("-", B5)+1, FIND("-", B5, FIND("-", B5)+1)-FIND("-", B5)-1)</f>
        <v>#VALUE!</v>
      </c>
      <c r="F5" s="23"/>
      <c r="G5" s="23" t="str">
        <f t="shared" ref="G5:G14" si="2">IF(ISERROR(FIND("-D-", B5)), "", "X")</f>
        <v/>
      </c>
      <c r="H5" s="23" t="str">
        <f t="shared" ref="H5:H14" si="3">IF(ISERROR(FIND("-C-", B5)), "", "X")</f>
        <v/>
      </c>
      <c r="I5" s="23" t="str">
        <f t="shared" ref="I5:I14" si="4">IF(ISERROR(FIND("-E-", B5)), "", "X")</f>
        <v/>
      </c>
      <c r="J5" s="23"/>
      <c r="K5" s="23" t="str">
        <f t="shared" ref="K5:K14" si="5">IF(ISERROR(FIND("P1", A5)), "", "X")</f>
        <v/>
      </c>
      <c r="L5" s="23" t="str">
        <f t="shared" ref="L5:L14" si="6">IF(ISERROR(FIND("P2", A5)), "", "X")</f>
        <v/>
      </c>
      <c r="M5" s="23" t="str">
        <f t="shared" ref="M5:M14" si="7">IF(ISERROR(FIND("P3", A5)), "", "X")</f>
        <v/>
      </c>
      <c r="N5" s="24" t="str">
        <f t="shared" ref="N5:N14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si="0"/>
        <v>#VALUE!</v>
      </c>
      <c r="E7" s="23" t="e">
        <f t="shared" si="1"/>
        <v>#VALUE!</v>
      </c>
      <c r="F7" s="23"/>
      <c r="G7" s="23" t="str">
        <f t="shared" si="2"/>
        <v/>
      </c>
      <c r="H7" s="23" t="str">
        <f t="shared" si="3"/>
        <v/>
      </c>
      <c r="I7" s="23" t="str">
        <f t="shared" si="4"/>
        <v/>
      </c>
      <c r="J7" s="23"/>
      <c r="K7" s="23" t="str">
        <f t="shared" si="5"/>
        <v/>
      </c>
      <c r="L7" s="23" t="str">
        <f t="shared" si="6"/>
        <v/>
      </c>
      <c r="M7" s="23" t="str">
        <f t="shared" si="7"/>
        <v/>
      </c>
      <c r="N7" s="24" t="str">
        <f t="shared" si="8"/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si="0"/>
        <v>#VALUE!</v>
      </c>
      <c r="E8" s="23" t="e">
        <f t="shared" si="1"/>
        <v>#VALUE!</v>
      </c>
      <c r="F8" s="23"/>
      <c r="G8" s="23" t="str">
        <f t="shared" si="2"/>
        <v/>
      </c>
      <c r="H8" s="23" t="str">
        <f t="shared" si="3"/>
        <v/>
      </c>
      <c r="I8" s="23" t="str">
        <f t="shared" si="4"/>
        <v/>
      </c>
      <c r="J8" s="23"/>
      <c r="K8" s="23" t="str">
        <f t="shared" si="5"/>
        <v/>
      </c>
      <c r="L8" s="23" t="str">
        <f t="shared" si="6"/>
        <v/>
      </c>
      <c r="M8" s="23" t="str">
        <f t="shared" si="7"/>
        <v/>
      </c>
      <c r="N8" s="24" t="str">
        <f t="shared" si="8"/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0"/>
        <v>#VALUE!</v>
      </c>
      <c r="E9" s="23" t="e">
        <f t="shared" si="1"/>
        <v>#VALUE!</v>
      </c>
      <c r="F9" s="23"/>
      <c r="G9" s="23" t="str">
        <f t="shared" si="2"/>
        <v/>
      </c>
      <c r="H9" s="23" t="str">
        <f t="shared" si="3"/>
        <v/>
      </c>
      <c r="I9" s="23" t="str">
        <f t="shared" si="4"/>
        <v/>
      </c>
      <c r="J9" s="23"/>
      <c r="K9" s="23" t="str">
        <f t="shared" si="5"/>
        <v/>
      </c>
      <c r="L9" s="23" t="str">
        <f t="shared" si="6"/>
        <v/>
      </c>
      <c r="M9" s="23" t="str">
        <f t="shared" si="7"/>
        <v/>
      </c>
      <c r="N9" s="24" t="str">
        <f t="shared" si="8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0"/>
        <v>#VALUE!</v>
      </c>
      <c r="E10" s="23" t="e">
        <f t="shared" si="1"/>
        <v>#VALUE!</v>
      </c>
      <c r="F10" s="23"/>
      <c r="G10" s="23" t="str">
        <f t="shared" si="2"/>
        <v/>
      </c>
      <c r="H10" s="23" t="str">
        <f t="shared" si="3"/>
        <v/>
      </c>
      <c r="I10" s="23" t="str">
        <f t="shared" si="4"/>
        <v/>
      </c>
      <c r="J10" s="23"/>
      <c r="K10" s="23" t="str">
        <f t="shared" si="5"/>
        <v/>
      </c>
      <c r="L10" s="23" t="str">
        <f t="shared" si="6"/>
        <v/>
      </c>
      <c r="M10" s="23" t="str">
        <f t="shared" si="7"/>
        <v/>
      </c>
      <c r="N10" s="24" t="str">
        <f t="shared" si="8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si="0"/>
        <v>#VALUE!</v>
      </c>
      <c r="E11" s="6" t="e">
        <f t="shared" si="1"/>
        <v>#VALUE!</v>
      </c>
      <c r="F11" s="6"/>
      <c r="G11" s="6" t="str">
        <f t="shared" si="2"/>
        <v/>
      </c>
      <c r="H11" s="6" t="str">
        <f t="shared" si="3"/>
        <v/>
      </c>
      <c r="I11" s="6" t="str">
        <f t="shared" si="4"/>
        <v/>
      </c>
      <c r="J11" s="6"/>
      <c r="K11" s="6" t="str">
        <f t="shared" si="5"/>
        <v/>
      </c>
      <c r="L11" s="6" t="str">
        <f t="shared" si="6"/>
        <v/>
      </c>
      <c r="M11" s="6" t="str">
        <f t="shared" si="7"/>
        <v/>
      </c>
      <c r="N11" s="3" t="str">
        <f t="shared" si="8"/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0"/>
        <v>#VALUE!</v>
      </c>
      <c r="E12" s="6" t="e">
        <f t="shared" si="1"/>
        <v>#VALUE!</v>
      </c>
      <c r="F12" s="6"/>
      <c r="G12" s="6" t="str">
        <f t="shared" si="2"/>
        <v/>
      </c>
      <c r="H12" s="6" t="str">
        <f t="shared" si="3"/>
        <v/>
      </c>
      <c r="I12" s="6" t="str">
        <f t="shared" si="4"/>
        <v/>
      </c>
      <c r="J12" s="6"/>
      <c r="K12" s="6" t="str">
        <f t="shared" si="5"/>
        <v/>
      </c>
      <c r="L12" s="6" t="str">
        <f t="shared" si="6"/>
        <v/>
      </c>
      <c r="M12" s="6" t="str">
        <f t="shared" si="7"/>
        <v/>
      </c>
      <c r="N12" s="3" t="str">
        <f t="shared" si="8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0"/>
        <v>#VALUE!</v>
      </c>
      <c r="E13" s="6" t="e">
        <f t="shared" si="1"/>
        <v>#VALUE!</v>
      </c>
      <c r="F13" s="6"/>
      <c r="G13" s="6" t="str">
        <f t="shared" si="2"/>
        <v/>
      </c>
      <c r="H13" s="6" t="str">
        <f t="shared" si="3"/>
        <v/>
      </c>
      <c r="I13" s="6" t="str">
        <f t="shared" si="4"/>
        <v/>
      </c>
      <c r="J13" s="6"/>
      <c r="K13" s="6" t="str">
        <f t="shared" si="5"/>
        <v/>
      </c>
      <c r="L13" s="6" t="str">
        <f t="shared" si="6"/>
        <v/>
      </c>
      <c r="M13" s="6" t="str">
        <f t="shared" si="7"/>
        <v/>
      </c>
      <c r="N13" s="3" t="str">
        <f t="shared" si="8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0"/>
        <v>#VALUE!</v>
      </c>
      <c r="E14" s="6" t="e">
        <f t="shared" si="1"/>
        <v>#VALUE!</v>
      </c>
      <c r="F14" s="6"/>
      <c r="G14" s="6" t="str">
        <f t="shared" si="2"/>
        <v/>
      </c>
      <c r="H14" s="6" t="str">
        <f t="shared" si="3"/>
        <v/>
      </c>
      <c r="I14" s="6" t="str">
        <f t="shared" si="4"/>
        <v/>
      </c>
      <c r="J14" s="6"/>
      <c r="K14" s="6" t="str">
        <f t="shared" si="5"/>
        <v/>
      </c>
      <c r="L14" s="6" t="str">
        <f t="shared" si="6"/>
        <v/>
      </c>
      <c r="M14" s="6" t="str">
        <f t="shared" si="7"/>
        <v/>
      </c>
      <c r="N14" s="3" t="str">
        <f t="shared" si="8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ht="20.100000000000001" customHeight="1" x14ac:dyDescent="0.25"/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37</v>
      </c>
      <c r="D20" s="17" t="e">
        <f t="shared" ref="D20:D31" si="9">LEFT(B20, FIND("-", B20)-1)</f>
        <v>#VALUE!</v>
      </c>
      <c r="E20" s="18" t="e">
        <f t="shared" ref="E20:E31" si="10">MID(B20, FIND("-", B20)+1, FIND("-", B20, FIND("-", B20)+1)-FIND("-", B20)-1)</f>
        <v>#VALUE!</v>
      </c>
      <c r="F20" s="18"/>
      <c r="G20" s="18" t="str">
        <f t="shared" ref="G20:G31" si="11">IF(ISERROR(FIND("-D-", B20)), "", "X")</f>
        <v/>
      </c>
      <c r="H20" s="18" t="str">
        <f t="shared" ref="H20:H31" si="12">IF(ISERROR(FIND("-C-", B20)), "", "X")</f>
        <v/>
      </c>
      <c r="I20" s="18" t="str">
        <f t="shared" ref="I20:I31" si="13">IF(ISERROR(FIND("-E-", B20)), "", "X")</f>
        <v/>
      </c>
      <c r="J20" s="18"/>
      <c r="K20" s="18" t="str">
        <f t="shared" ref="K20:K31" si="14">IF(ISERROR(FIND("P1", A20)), "", "X")</f>
        <v/>
      </c>
      <c r="L20" s="18" t="str">
        <f t="shared" ref="L20:L31" si="15">IF(ISERROR(FIND("P2", A20)), "", "X")</f>
        <v/>
      </c>
      <c r="M20" s="18" t="str">
        <f t="shared" ref="M20:M31" si="16">IF(ISERROR(FIND("P3", A20)), "", "X")</f>
        <v/>
      </c>
      <c r="N20" s="3" t="str">
        <f t="shared" ref="N20:N31" si="17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9"/>
        <v>#VALUE!</v>
      </c>
      <c r="E21" s="23" t="e">
        <f t="shared" si="10"/>
        <v>#VALUE!</v>
      </c>
      <c r="F21" s="23"/>
      <c r="G21" s="23" t="str">
        <f t="shared" si="11"/>
        <v/>
      </c>
      <c r="H21" s="23" t="str">
        <f t="shared" si="12"/>
        <v/>
      </c>
      <c r="I21" s="23" t="str">
        <f t="shared" si="13"/>
        <v/>
      </c>
      <c r="J21" s="23"/>
      <c r="K21" s="23" t="str">
        <f t="shared" si="14"/>
        <v/>
      </c>
      <c r="L21" s="23" t="str">
        <f t="shared" si="15"/>
        <v/>
      </c>
      <c r="M21" s="23" t="str">
        <f t="shared" si="16"/>
        <v/>
      </c>
      <c r="N21" s="24" t="str">
        <f t="shared" si="17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9"/>
        <v>#VALUE!</v>
      </c>
      <c r="E22" s="23" t="e">
        <f t="shared" si="10"/>
        <v>#VALUE!</v>
      </c>
      <c r="F22" s="23"/>
      <c r="G22" s="23" t="str">
        <f t="shared" si="11"/>
        <v/>
      </c>
      <c r="H22" s="23" t="str">
        <f t="shared" si="12"/>
        <v/>
      </c>
      <c r="I22" s="23" t="str">
        <f t="shared" si="13"/>
        <v/>
      </c>
      <c r="J22" s="23"/>
      <c r="K22" s="23" t="str">
        <f t="shared" si="14"/>
        <v/>
      </c>
      <c r="L22" s="23" t="str">
        <f t="shared" si="15"/>
        <v/>
      </c>
      <c r="M22" s="23" t="str">
        <f t="shared" si="16"/>
        <v/>
      </c>
      <c r="N22" s="24" t="str">
        <f t="shared" si="17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9"/>
        <v>#VALUE!</v>
      </c>
      <c r="E23" s="23" t="e">
        <f t="shared" si="10"/>
        <v>#VALUE!</v>
      </c>
      <c r="F23" s="23"/>
      <c r="G23" s="23" t="str">
        <f t="shared" si="11"/>
        <v/>
      </c>
      <c r="H23" s="23" t="str">
        <f t="shared" si="12"/>
        <v/>
      </c>
      <c r="I23" s="23" t="str">
        <f t="shared" si="13"/>
        <v/>
      </c>
      <c r="J23" s="23"/>
      <c r="K23" s="23" t="str">
        <f t="shared" si="14"/>
        <v/>
      </c>
      <c r="L23" s="23" t="str">
        <f t="shared" si="15"/>
        <v/>
      </c>
      <c r="M23" s="23" t="str">
        <f t="shared" si="16"/>
        <v/>
      </c>
      <c r="N23" s="24" t="str">
        <f t="shared" si="17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9"/>
        <v>#VALUE!</v>
      </c>
      <c r="E24" s="23" t="e">
        <f t="shared" si="10"/>
        <v>#VALUE!</v>
      </c>
      <c r="F24" s="23"/>
      <c r="G24" s="23" t="str">
        <f t="shared" si="11"/>
        <v/>
      </c>
      <c r="H24" s="23" t="str">
        <f t="shared" si="12"/>
        <v/>
      </c>
      <c r="I24" s="23" t="str">
        <f t="shared" si="13"/>
        <v/>
      </c>
      <c r="J24" s="23"/>
      <c r="K24" s="23" t="str">
        <f t="shared" si="14"/>
        <v/>
      </c>
      <c r="L24" s="23" t="str">
        <f t="shared" si="15"/>
        <v/>
      </c>
      <c r="M24" s="23" t="str">
        <f t="shared" si="16"/>
        <v/>
      </c>
      <c r="N24" s="24" t="str">
        <f t="shared" si="17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9"/>
        <v>#VALUE!</v>
      </c>
      <c r="E25" s="23" t="e">
        <f t="shared" si="10"/>
        <v>#VALUE!</v>
      </c>
      <c r="F25" s="23"/>
      <c r="G25" s="23" t="str">
        <f t="shared" si="11"/>
        <v/>
      </c>
      <c r="H25" s="23" t="str">
        <f t="shared" si="12"/>
        <v/>
      </c>
      <c r="I25" s="23" t="str">
        <f t="shared" si="13"/>
        <v/>
      </c>
      <c r="J25" s="23"/>
      <c r="K25" s="23" t="str">
        <f t="shared" si="14"/>
        <v/>
      </c>
      <c r="L25" s="23" t="str">
        <f t="shared" si="15"/>
        <v/>
      </c>
      <c r="M25" s="23" t="str">
        <f t="shared" si="16"/>
        <v/>
      </c>
      <c r="N25" s="24" t="str">
        <f t="shared" si="17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9"/>
        <v>#VALUE!</v>
      </c>
      <c r="E26" s="23" t="e">
        <f t="shared" si="10"/>
        <v>#VALUE!</v>
      </c>
      <c r="F26" s="23"/>
      <c r="G26" s="23" t="str">
        <f t="shared" si="11"/>
        <v/>
      </c>
      <c r="H26" s="23" t="str">
        <f t="shared" si="12"/>
        <v/>
      </c>
      <c r="I26" s="23" t="str">
        <f t="shared" si="13"/>
        <v/>
      </c>
      <c r="J26" s="23"/>
      <c r="K26" s="23" t="str">
        <f t="shared" si="14"/>
        <v/>
      </c>
      <c r="L26" s="23" t="str">
        <f t="shared" si="15"/>
        <v/>
      </c>
      <c r="M26" s="23" t="str">
        <f t="shared" si="16"/>
        <v/>
      </c>
      <c r="N26" s="24" t="str">
        <f t="shared" si="17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9"/>
        <v>#VALUE!</v>
      </c>
      <c r="E27" s="23" t="e">
        <f t="shared" si="10"/>
        <v>#VALUE!</v>
      </c>
      <c r="F27" s="23"/>
      <c r="G27" s="23" t="str">
        <f t="shared" si="11"/>
        <v/>
      </c>
      <c r="H27" s="23" t="str">
        <f t="shared" si="12"/>
        <v/>
      </c>
      <c r="I27" s="23" t="str">
        <f t="shared" si="13"/>
        <v/>
      </c>
      <c r="J27" s="23"/>
      <c r="K27" s="23" t="str">
        <f t="shared" si="14"/>
        <v/>
      </c>
      <c r="L27" s="23" t="str">
        <f t="shared" si="15"/>
        <v/>
      </c>
      <c r="M27" s="23" t="str">
        <f t="shared" si="16"/>
        <v/>
      </c>
      <c r="N27" s="24" t="str">
        <f t="shared" si="17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9"/>
        <v>#VALUE!</v>
      </c>
      <c r="E28" s="6" t="e">
        <f t="shared" si="10"/>
        <v>#VALUE!</v>
      </c>
      <c r="F28" s="6"/>
      <c r="G28" s="6" t="str">
        <f t="shared" si="11"/>
        <v/>
      </c>
      <c r="H28" s="6" t="str">
        <f t="shared" si="12"/>
        <v/>
      </c>
      <c r="I28" s="6" t="str">
        <f t="shared" si="13"/>
        <v/>
      </c>
      <c r="J28" s="6"/>
      <c r="K28" s="6" t="str">
        <f t="shared" si="14"/>
        <v/>
      </c>
      <c r="L28" s="6" t="str">
        <f t="shared" si="15"/>
        <v/>
      </c>
      <c r="M28" s="6" t="str">
        <f t="shared" si="16"/>
        <v/>
      </c>
      <c r="N28" s="3" t="str">
        <f t="shared" si="17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9"/>
        <v>#VALUE!</v>
      </c>
      <c r="E29" s="6" t="e">
        <f t="shared" si="10"/>
        <v>#VALUE!</v>
      </c>
      <c r="F29" s="6"/>
      <c r="G29" s="6" t="str">
        <f t="shared" si="11"/>
        <v/>
      </c>
      <c r="H29" s="6" t="str">
        <f t="shared" si="12"/>
        <v/>
      </c>
      <c r="I29" s="6" t="str">
        <f t="shared" si="13"/>
        <v/>
      </c>
      <c r="J29" s="6"/>
      <c r="K29" s="6" t="str">
        <f t="shared" si="14"/>
        <v/>
      </c>
      <c r="L29" s="6" t="str">
        <f t="shared" si="15"/>
        <v/>
      </c>
      <c r="M29" s="6" t="str">
        <f t="shared" si="16"/>
        <v/>
      </c>
      <c r="N29" s="3" t="str">
        <f t="shared" si="17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9"/>
        <v>#VALUE!</v>
      </c>
      <c r="E30" s="6" t="e">
        <f t="shared" si="10"/>
        <v>#VALUE!</v>
      </c>
      <c r="F30" s="6"/>
      <c r="G30" s="6" t="str">
        <f t="shared" si="11"/>
        <v/>
      </c>
      <c r="H30" s="6" t="str">
        <f t="shared" si="12"/>
        <v/>
      </c>
      <c r="I30" s="6" t="str">
        <f t="shared" si="13"/>
        <v/>
      </c>
      <c r="J30" s="6"/>
      <c r="K30" s="6" t="str">
        <f t="shared" si="14"/>
        <v/>
      </c>
      <c r="L30" s="6" t="str">
        <f t="shared" si="15"/>
        <v/>
      </c>
      <c r="M30" s="6" t="str">
        <f t="shared" si="16"/>
        <v/>
      </c>
      <c r="N30" s="3" t="str">
        <f t="shared" si="17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9"/>
        <v>#VALUE!</v>
      </c>
      <c r="E31" s="6" t="e">
        <f t="shared" si="10"/>
        <v>#VALUE!</v>
      </c>
      <c r="F31" s="6"/>
      <c r="G31" s="6" t="str">
        <f t="shared" si="11"/>
        <v/>
      </c>
      <c r="H31" s="6" t="str">
        <f t="shared" si="12"/>
        <v/>
      </c>
      <c r="I31" s="6" t="str">
        <f t="shared" si="13"/>
        <v/>
      </c>
      <c r="J31" s="6"/>
      <c r="K31" s="6" t="str">
        <f t="shared" si="14"/>
        <v/>
      </c>
      <c r="L31" s="6" t="str">
        <f t="shared" si="15"/>
        <v/>
      </c>
      <c r="M31" s="6" t="str">
        <f t="shared" si="16"/>
        <v/>
      </c>
      <c r="N31" s="3" t="str">
        <f t="shared" si="17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38</v>
      </c>
      <c r="D37" s="17" t="e">
        <f t="shared" ref="D37:D48" si="18">LEFT(B37, FIND("-", B37)-1)</f>
        <v>#VALUE!</v>
      </c>
      <c r="E37" s="18" t="e">
        <f t="shared" ref="E37:E48" si="19">MID(B37, FIND("-", B37)+1, FIND("-", B37, FIND("-", B37)+1)-FIND("-", B37)-1)</f>
        <v>#VALUE!</v>
      </c>
      <c r="F37" s="18"/>
      <c r="G37" s="18" t="str">
        <f t="shared" ref="G37:G48" si="20">IF(ISERROR(FIND("-D-", B37)), "", "X")</f>
        <v/>
      </c>
      <c r="H37" s="18" t="str">
        <f t="shared" ref="H37:H48" si="21">IF(ISERROR(FIND("-C-", B37)), "", "X")</f>
        <v/>
      </c>
      <c r="I37" s="18" t="str">
        <f t="shared" ref="I37:I48" si="22">IF(ISERROR(FIND("-E-", B37)), "", "X")</f>
        <v/>
      </c>
      <c r="J37" s="18"/>
      <c r="K37" s="18" t="str">
        <f t="shared" ref="K37:K48" si="23">IF(ISERROR(FIND("P1", A37)), "", "X")</f>
        <v/>
      </c>
      <c r="L37" s="18" t="str">
        <f t="shared" ref="L37:L48" si="24">IF(ISERROR(FIND("P2", A37)), "", "X")</f>
        <v/>
      </c>
      <c r="M37" s="18" t="str">
        <f t="shared" ref="M37:M48" si="25">IF(ISERROR(FIND("P3", A37)), "", "X")</f>
        <v/>
      </c>
      <c r="N37" s="3" t="str">
        <f t="shared" ref="N37:N48" si="26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18"/>
        <v>#VALUE!</v>
      </c>
      <c r="E38" s="23" t="e">
        <f t="shared" si="19"/>
        <v>#VALUE!</v>
      </c>
      <c r="F38" s="23"/>
      <c r="G38" s="23" t="str">
        <f t="shared" si="20"/>
        <v/>
      </c>
      <c r="H38" s="23" t="str">
        <f t="shared" si="21"/>
        <v/>
      </c>
      <c r="I38" s="23" t="str">
        <f t="shared" si="22"/>
        <v/>
      </c>
      <c r="J38" s="23"/>
      <c r="K38" s="23" t="str">
        <f t="shared" si="23"/>
        <v/>
      </c>
      <c r="L38" s="23" t="str">
        <f t="shared" si="24"/>
        <v/>
      </c>
      <c r="M38" s="23" t="str">
        <f t="shared" si="25"/>
        <v/>
      </c>
      <c r="N38" s="24" t="str">
        <f t="shared" si="26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18"/>
        <v>#VALUE!</v>
      </c>
      <c r="E39" s="23" t="e">
        <f t="shared" si="19"/>
        <v>#VALUE!</v>
      </c>
      <c r="F39" s="23"/>
      <c r="G39" s="23" t="str">
        <f t="shared" si="20"/>
        <v/>
      </c>
      <c r="H39" s="23" t="str">
        <f t="shared" si="21"/>
        <v/>
      </c>
      <c r="I39" s="23" t="str">
        <f t="shared" si="22"/>
        <v/>
      </c>
      <c r="J39" s="23"/>
      <c r="K39" s="23" t="str">
        <f t="shared" si="23"/>
        <v/>
      </c>
      <c r="L39" s="23" t="str">
        <f t="shared" si="24"/>
        <v/>
      </c>
      <c r="M39" s="23" t="str">
        <f t="shared" si="25"/>
        <v/>
      </c>
      <c r="N39" s="24" t="str">
        <f t="shared" si="26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18"/>
        <v>#VALUE!</v>
      </c>
      <c r="E40" s="23" t="e">
        <f t="shared" si="19"/>
        <v>#VALUE!</v>
      </c>
      <c r="F40" s="23"/>
      <c r="G40" s="23" t="str">
        <f t="shared" si="20"/>
        <v/>
      </c>
      <c r="H40" s="23" t="str">
        <f t="shared" si="21"/>
        <v/>
      </c>
      <c r="I40" s="23" t="str">
        <f t="shared" si="22"/>
        <v/>
      </c>
      <c r="J40" s="23"/>
      <c r="K40" s="23" t="str">
        <f t="shared" si="23"/>
        <v/>
      </c>
      <c r="L40" s="23" t="str">
        <f t="shared" si="24"/>
        <v/>
      </c>
      <c r="M40" s="23" t="str">
        <f t="shared" si="25"/>
        <v/>
      </c>
      <c r="N40" s="24" t="str">
        <f t="shared" si="26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18"/>
        <v>#VALUE!</v>
      </c>
      <c r="E41" s="23" t="e">
        <f t="shared" si="19"/>
        <v>#VALUE!</v>
      </c>
      <c r="F41" s="23"/>
      <c r="G41" s="23" t="str">
        <f t="shared" si="20"/>
        <v/>
      </c>
      <c r="H41" s="23" t="str">
        <f t="shared" si="21"/>
        <v/>
      </c>
      <c r="I41" s="23" t="str">
        <f t="shared" si="22"/>
        <v/>
      </c>
      <c r="J41" s="23"/>
      <c r="K41" s="23" t="str">
        <f t="shared" si="23"/>
        <v/>
      </c>
      <c r="L41" s="23" t="str">
        <f t="shared" si="24"/>
        <v/>
      </c>
      <c r="M41" s="23" t="str">
        <f t="shared" si="25"/>
        <v/>
      </c>
      <c r="N41" s="24" t="str">
        <f t="shared" si="26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18"/>
        <v>#VALUE!</v>
      </c>
      <c r="E42" s="23" t="e">
        <f t="shared" si="19"/>
        <v>#VALUE!</v>
      </c>
      <c r="F42" s="23"/>
      <c r="G42" s="23" t="str">
        <f t="shared" si="20"/>
        <v/>
      </c>
      <c r="H42" s="23" t="str">
        <f t="shared" si="21"/>
        <v/>
      </c>
      <c r="I42" s="23" t="str">
        <f t="shared" si="22"/>
        <v/>
      </c>
      <c r="J42" s="23"/>
      <c r="K42" s="23" t="str">
        <f t="shared" si="23"/>
        <v/>
      </c>
      <c r="L42" s="23" t="str">
        <f t="shared" si="24"/>
        <v/>
      </c>
      <c r="M42" s="23" t="str">
        <f t="shared" si="25"/>
        <v/>
      </c>
      <c r="N42" s="24" t="str">
        <f t="shared" si="26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18"/>
        <v>#VALUE!</v>
      </c>
      <c r="E43" s="23" t="e">
        <f t="shared" si="19"/>
        <v>#VALUE!</v>
      </c>
      <c r="F43" s="23"/>
      <c r="G43" s="23" t="str">
        <f t="shared" si="20"/>
        <v/>
      </c>
      <c r="H43" s="23" t="str">
        <f t="shared" si="21"/>
        <v/>
      </c>
      <c r="I43" s="23" t="str">
        <f t="shared" si="22"/>
        <v/>
      </c>
      <c r="J43" s="23"/>
      <c r="K43" s="23" t="str">
        <f t="shared" si="23"/>
        <v/>
      </c>
      <c r="L43" s="23" t="str">
        <f t="shared" si="24"/>
        <v/>
      </c>
      <c r="M43" s="23" t="str">
        <f t="shared" si="25"/>
        <v/>
      </c>
      <c r="N43" s="24" t="str">
        <f t="shared" si="26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18"/>
        <v>#VALUE!</v>
      </c>
      <c r="E44" s="23" t="e">
        <f t="shared" si="19"/>
        <v>#VALUE!</v>
      </c>
      <c r="F44" s="23"/>
      <c r="G44" s="23" t="str">
        <f t="shared" si="20"/>
        <v/>
      </c>
      <c r="H44" s="23" t="str">
        <f t="shared" si="21"/>
        <v/>
      </c>
      <c r="I44" s="23" t="str">
        <f t="shared" si="22"/>
        <v/>
      </c>
      <c r="J44" s="23"/>
      <c r="K44" s="23" t="str">
        <f t="shared" si="23"/>
        <v/>
      </c>
      <c r="L44" s="23" t="str">
        <f t="shared" si="24"/>
        <v/>
      </c>
      <c r="M44" s="23" t="str">
        <f t="shared" si="25"/>
        <v/>
      </c>
      <c r="N44" s="24" t="str">
        <f t="shared" si="26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18"/>
        <v>#VALUE!</v>
      </c>
      <c r="E45" s="6" t="e">
        <f t="shared" si="19"/>
        <v>#VALUE!</v>
      </c>
      <c r="F45" s="6"/>
      <c r="G45" s="6" t="str">
        <f t="shared" si="20"/>
        <v/>
      </c>
      <c r="H45" s="6" t="str">
        <f t="shared" si="21"/>
        <v/>
      </c>
      <c r="I45" s="6" t="str">
        <f t="shared" si="22"/>
        <v/>
      </c>
      <c r="J45" s="6"/>
      <c r="K45" s="6" t="str">
        <f t="shared" si="23"/>
        <v/>
      </c>
      <c r="L45" s="6" t="str">
        <f t="shared" si="24"/>
        <v/>
      </c>
      <c r="M45" s="6" t="str">
        <f t="shared" si="25"/>
        <v/>
      </c>
      <c r="N45" s="3" t="str">
        <f t="shared" si="26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18"/>
        <v>#VALUE!</v>
      </c>
      <c r="E46" s="6" t="e">
        <f t="shared" si="19"/>
        <v>#VALUE!</v>
      </c>
      <c r="F46" s="6"/>
      <c r="G46" s="6" t="str">
        <f t="shared" si="20"/>
        <v/>
      </c>
      <c r="H46" s="6" t="str">
        <f t="shared" si="21"/>
        <v/>
      </c>
      <c r="I46" s="6" t="str">
        <f t="shared" si="22"/>
        <v/>
      </c>
      <c r="J46" s="6"/>
      <c r="K46" s="6" t="str">
        <f t="shared" si="23"/>
        <v/>
      </c>
      <c r="L46" s="6" t="str">
        <f t="shared" si="24"/>
        <v/>
      </c>
      <c r="M46" s="6" t="str">
        <f t="shared" si="25"/>
        <v/>
      </c>
      <c r="N46" s="3" t="str">
        <f t="shared" si="26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18"/>
        <v>#VALUE!</v>
      </c>
      <c r="E47" s="6" t="e">
        <f t="shared" si="19"/>
        <v>#VALUE!</v>
      </c>
      <c r="F47" s="6"/>
      <c r="G47" s="6" t="str">
        <f t="shared" si="20"/>
        <v/>
      </c>
      <c r="H47" s="6" t="str">
        <f t="shared" si="21"/>
        <v/>
      </c>
      <c r="I47" s="6" t="str">
        <f t="shared" si="22"/>
        <v/>
      </c>
      <c r="J47" s="6"/>
      <c r="K47" s="6" t="str">
        <f t="shared" si="23"/>
        <v/>
      </c>
      <c r="L47" s="6" t="str">
        <f t="shared" si="24"/>
        <v/>
      </c>
      <c r="M47" s="6" t="str">
        <f t="shared" si="25"/>
        <v/>
      </c>
      <c r="N47" s="3" t="str">
        <f t="shared" si="26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18"/>
        <v>#VALUE!</v>
      </c>
      <c r="E48" s="6" t="e">
        <f t="shared" si="19"/>
        <v>#VALUE!</v>
      </c>
      <c r="F48" s="6"/>
      <c r="G48" s="6" t="str">
        <f t="shared" si="20"/>
        <v/>
      </c>
      <c r="H48" s="6" t="str">
        <f t="shared" si="21"/>
        <v/>
      </c>
      <c r="I48" s="6" t="str">
        <f t="shared" si="22"/>
        <v/>
      </c>
      <c r="J48" s="6"/>
      <c r="K48" s="6" t="str">
        <f t="shared" si="23"/>
        <v/>
      </c>
      <c r="L48" s="6" t="str">
        <f t="shared" si="24"/>
        <v/>
      </c>
      <c r="M48" s="6" t="str">
        <f t="shared" si="25"/>
        <v/>
      </c>
      <c r="N48" s="3" t="str">
        <f t="shared" si="26"/>
        <v/>
      </c>
      <c r="O48" s="14"/>
      <c r="P48" s="15"/>
      <c r="Q48" s="7"/>
    </row>
    <row r="49" spans="1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  <row r="51" spans="1:17" ht="20.100000000000001" customHeight="1" x14ac:dyDescent="0.4">
      <c r="A51" s="21" t="s">
        <v>15</v>
      </c>
      <c r="B51" s="21" t="s">
        <v>19</v>
      </c>
      <c r="C51" s="34" t="s">
        <v>18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ht="20.100000000000001" customHeight="1" x14ac:dyDescent="0.35">
      <c r="A52" s="4"/>
      <c r="B52" s="4"/>
      <c r="C52" s="35"/>
      <c r="D52" s="36"/>
      <c r="E52" s="37"/>
      <c r="F52" s="10"/>
      <c r="G52" s="38" t="s">
        <v>0</v>
      </c>
      <c r="H52" s="39"/>
      <c r="I52" s="40"/>
      <c r="J52" s="10"/>
      <c r="K52" s="41" t="s">
        <v>1</v>
      </c>
      <c r="L52" s="42"/>
      <c r="M52" s="43"/>
      <c r="N52" s="11"/>
      <c r="O52" s="11"/>
      <c r="P52" s="11"/>
      <c r="Q52" s="11"/>
    </row>
    <row r="53" spans="1:17" ht="20.100000000000001" customHeight="1" x14ac:dyDescent="0.3">
      <c r="A53" s="5"/>
      <c r="B53" s="5"/>
      <c r="C53" s="1" t="s">
        <v>6</v>
      </c>
      <c r="D53" s="9" t="s">
        <v>7</v>
      </c>
      <c r="E53" s="1" t="s">
        <v>8</v>
      </c>
      <c r="F53" s="2" t="s">
        <v>16</v>
      </c>
      <c r="G53" s="12" t="s">
        <v>9</v>
      </c>
      <c r="H53" s="12" t="s">
        <v>10</v>
      </c>
      <c r="I53" s="12" t="s">
        <v>11</v>
      </c>
      <c r="J53" s="2" t="s">
        <v>17</v>
      </c>
      <c r="K53" s="13" t="s">
        <v>12</v>
      </c>
      <c r="L53" s="13" t="s">
        <v>13</v>
      </c>
      <c r="M53" s="13" t="s">
        <v>14</v>
      </c>
      <c r="N53" s="11" t="s">
        <v>2</v>
      </c>
      <c r="O53" s="11" t="s">
        <v>3</v>
      </c>
      <c r="P53" s="11" t="s">
        <v>4</v>
      </c>
      <c r="Q53" s="11" t="s">
        <v>5</v>
      </c>
    </row>
    <row r="54" spans="1:17" ht="20.100000000000001" customHeight="1" x14ac:dyDescent="0.35">
      <c r="A54" s="28"/>
      <c r="B54" s="28"/>
      <c r="C54" s="29" t="s">
        <v>39</v>
      </c>
      <c r="D54" s="17" t="e">
        <f t="shared" ref="D54:D65" si="27">LEFT(B54, FIND("-", B54)-1)</f>
        <v>#VALUE!</v>
      </c>
      <c r="E54" s="18" t="e">
        <f t="shared" ref="E54:E65" si="28">MID(B54, FIND("-", B54)+1, FIND("-", B54, FIND("-", B54)+1)-FIND("-", B54)-1)</f>
        <v>#VALUE!</v>
      </c>
      <c r="F54" s="18"/>
      <c r="G54" s="18" t="str">
        <f t="shared" ref="G54:G65" si="29">IF(ISERROR(FIND("-D-", B54)), "", "X")</f>
        <v/>
      </c>
      <c r="H54" s="18" t="str">
        <f t="shared" ref="H54:H65" si="30">IF(ISERROR(FIND("-C-", B54)), "", "X")</f>
        <v/>
      </c>
      <c r="I54" s="18" t="str">
        <f t="shared" ref="I54:I65" si="31">IF(ISERROR(FIND("-E-", B54)), "", "X")</f>
        <v/>
      </c>
      <c r="J54" s="18"/>
      <c r="K54" s="18" t="str">
        <f t="shared" ref="K54:K65" si="32">IF(ISERROR(FIND("P1", A54)), "", "X")</f>
        <v/>
      </c>
      <c r="L54" s="18" t="str">
        <f t="shared" ref="L54:L65" si="33">IF(ISERROR(FIND("P2", A54)), "", "X")</f>
        <v/>
      </c>
      <c r="M54" s="18" t="str">
        <f t="shared" ref="M54:M65" si="34">IF(ISERROR(FIND("P3", A54)), "", "X")</f>
        <v/>
      </c>
      <c r="N54" s="3" t="str">
        <f t="shared" ref="N54:N65" si="35"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4" s="16"/>
      <c r="P54" s="19"/>
      <c r="Q54" s="20"/>
    </row>
    <row r="55" spans="1:17" ht="20.100000000000001" customHeight="1" x14ac:dyDescent="0.35">
      <c r="A55" s="28"/>
      <c r="B55" s="28"/>
      <c r="C55" s="30"/>
      <c r="D55" s="22" t="e">
        <f t="shared" si="27"/>
        <v>#VALUE!</v>
      </c>
      <c r="E55" s="23" t="e">
        <f t="shared" si="28"/>
        <v>#VALUE!</v>
      </c>
      <c r="F55" s="23"/>
      <c r="G55" s="23" t="str">
        <f t="shared" si="29"/>
        <v/>
      </c>
      <c r="H55" s="23" t="str">
        <f t="shared" si="30"/>
        <v/>
      </c>
      <c r="I55" s="23" t="str">
        <f t="shared" si="31"/>
        <v/>
      </c>
      <c r="J55" s="23"/>
      <c r="K55" s="23" t="str">
        <f t="shared" si="32"/>
        <v/>
      </c>
      <c r="L55" s="23" t="str">
        <f t="shared" si="33"/>
        <v/>
      </c>
      <c r="M55" s="23" t="str">
        <f t="shared" si="34"/>
        <v/>
      </c>
      <c r="N55" s="24" t="str">
        <f t="shared" si="35"/>
        <v/>
      </c>
      <c r="O55" s="25"/>
      <c r="P55" s="26"/>
      <c r="Q55" s="27"/>
    </row>
    <row r="56" spans="1:17" ht="20.100000000000001" customHeight="1" x14ac:dyDescent="0.35">
      <c r="A56" s="28"/>
      <c r="B56" s="28"/>
      <c r="C56" s="30"/>
      <c r="D56" s="22" t="e">
        <f t="shared" si="27"/>
        <v>#VALUE!</v>
      </c>
      <c r="E56" s="23" t="e">
        <f t="shared" si="28"/>
        <v>#VALUE!</v>
      </c>
      <c r="F56" s="23"/>
      <c r="G56" s="23" t="str">
        <f t="shared" si="29"/>
        <v/>
      </c>
      <c r="H56" s="23" t="str">
        <f t="shared" si="30"/>
        <v/>
      </c>
      <c r="I56" s="23" t="str">
        <f t="shared" si="31"/>
        <v/>
      </c>
      <c r="J56" s="23"/>
      <c r="K56" s="23" t="str">
        <f t="shared" si="32"/>
        <v/>
      </c>
      <c r="L56" s="23" t="str">
        <f t="shared" si="33"/>
        <v/>
      </c>
      <c r="M56" s="23" t="str">
        <f t="shared" si="34"/>
        <v/>
      </c>
      <c r="N56" s="24" t="str">
        <f t="shared" si="35"/>
        <v/>
      </c>
      <c r="O56" s="25"/>
      <c r="P56" s="26"/>
      <c r="Q56" s="27"/>
    </row>
    <row r="57" spans="1:17" ht="20.100000000000001" customHeight="1" x14ac:dyDescent="0.35">
      <c r="A57" s="28"/>
      <c r="B57" s="28"/>
      <c r="C57" s="30"/>
      <c r="D57" s="22" t="e">
        <f t="shared" si="27"/>
        <v>#VALUE!</v>
      </c>
      <c r="E57" s="23" t="e">
        <f t="shared" si="28"/>
        <v>#VALUE!</v>
      </c>
      <c r="F57" s="23"/>
      <c r="G57" s="23" t="str">
        <f t="shared" si="29"/>
        <v/>
      </c>
      <c r="H57" s="23" t="str">
        <f t="shared" si="30"/>
        <v/>
      </c>
      <c r="I57" s="23" t="str">
        <f t="shared" si="31"/>
        <v/>
      </c>
      <c r="J57" s="23"/>
      <c r="K57" s="23" t="str">
        <f t="shared" si="32"/>
        <v/>
      </c>
      <c r="L57" s="23" t="str">
        <f t="shared" si="33"/>
        <v/>
      </c>
      <c r="M57" s="23" t="str">
        <f t="shared" si="34"/>
        <v/>
      </c>
      <c r="N57" s="24" t="str">
        <f t="shared" si="35"/>
        <v/>
      </c>
      <c r="O57" s="25"/>
      <c r="P57" s="26"/>
      <c r="Q57" s="27"/>
    </row>
    <row r="58" spans="1:17" ht="20.100000000000001" customHeight="1" x14ac:dyDescent="0.35">
      <c r="A58" s="28"/>
      <c r="B58" s="28"/>
      <c r="C58" s="30"/>
      <c r="D58" s="22" t="e">
        <f t="shared" si="27"/>
        <v>#VALUE!</v>
      </c>
      <c r="E58" s="23" t="e">
        <f t="shared" si="28"/>
        <v>#VALUE!</v>
      </c>
      <c r="F58" s="23"/>
      <c r="G58" s="23" t="str">
        <f t="shared" si="29"/>
        <v/>
      </c>
      <c r="H58" s="23" t="str">
        <f t="shared" si="30"/>
        <v/>
      </c>
      <c r="I58" s="23" t="str">
        <f t="shared" si="31"/>
        <v/>
      </c>
      <c r="J58" s="23"/>
      <c r="K58" s="23" t="str">
        <f t="shared" si="32"/>
        <v/>
      </c>
      <c r="L58" s="23" t="str">
        <f t="shared" si="33"/>
        <v/>
      </c>
      <c r="M58" s="23" t="str">
        <f t="shared" si="34"/>
        <v/>
      </c>
      <c r="N58" s="24" t="str">
        <f t="shared" si="35"/>
        <v/>
      </c>
      <c r="O58" s="25"/>
      <c r="P58" s="26"/>
      <c r="Q58" s="27"/>
    </row>
    <row r="59" spans="1:17" ht="20.100000000000001" customHeight="1" x14ac:dyDescent="0.35">
      <c r="A59" s="16"/>
      <c r="B59" s="16"/>
      <c r="C59" s="30"/>
      <c r="D59" s="22" t="e">
        <f t="shared" si="27"/>
        <v>#VALUE!</v>
      </c>
      <c r="E59" s="23" t="e">
        <f t="shared" si="28"/>
        <v>#VALUE!</v>
      </c>
      <c r="F59" s="23"/>
      <c r="G59" s="23" t="str">
        <f t="shared" si="29"/>
        <v/>
      </c>
      <c r="H59" s="23" t="str">
        <f t="shared" si="30"/>
        <v/>
      </c>
      <c r="I59" s="23" t="str">
        <f t="shared" si="31"/>
        <v/>
      </c>
      <c r="J59" s="23"/>
      <c r="K59" s="23" t="str">
        <f t="shared" si="32"/>
        <v/>
      </c>
      <c r="L59" s="23" t="str">
        <f t="shared" si="33"/>
        <v/>
      </c>
      <c r="M59" s="23" t="str">
        <f t="shared" si="34"/>
        <v/>
      </c>
      <c r="N59" s="24" t="str">
        <f t="shared" si="35"/>
        <v/>
      </c>
      <c r="O59" s="25"/>
      <c r="P59" s="26"/>
      <c r="Q59" s="27"/>
    </row>
    <row r="60" spans="1:17" ht="20.100000000000001" customHeight="1" x14ac:dyDescent="0.35">
      <c r="A60" s="16"/>
      <c r="B60" s="16"/>
      <c r="C60" s="30"/>
      <c r="D60" s="22" t="e">
        <f t="shared" si="27"/>
        <v>#VALUE!</v>
      </c>
      <c r="E60" s="23" t="e">
        <f t="shared" si="28"/>
        <v>#VALUE!</v>
      </c>
      <c r="F60" s="23"/>
      <c r="G60" s="23" t="str">
        <f t="shared" si="29"/>
        <v/>
      </c>
      <c r="H60" s="23" t="str">
        <f t="shared" si="30"/>
        <v/>
      </c>
      <c r="I60" s="23" t="str">
        <f t="shared" si="31"/>
        <v/>
      </c>
      <c r="J60" s="23"/>
      <c r="K60" s="23" t="str">
        <f t="shared" si="32"/>
        <v/>
      </c>
      <c r="L60" s="23" t="str">
        <f t="shared" si="33"/>
        <v/>
      </c>
      <c r="M60" s="23" t="str">
        <f t="shared" si="34"/>
        <v/>
      </c>
      <c r="N60" s="24" t="str">
        <f t="shared" si="35"/>
        <v/>
      </c>
      <c r="O60" s="25"/>
      <c r="P60" s="26"/>
      <c r="Q60" s="27"/>
    </row>
    <row r="61" spans="1:17" ht="20.100000000000001" customHeight="1" x14ac:dyDescent="0.35">
      <c r="A61" s="16"/>
      <c r="B61" s="16"/>
      <c r="C61" s="30"/>
      <c r="D61" s="22" t="e">
        <f t="shared" si="27"/>
        <v>#VALUE!</v>
      </c>
      <c r="E61" s="23" t="e">
        <f t="shared" si="28"/>
        <v>#VALUE!</v>
      </c>
      <c r="F61" s="23"/>
      <c r="G61" s="23" t="str">
        <f t="shared" si="29"/>
        <v/>
      </c>
      <c r="H61" s="23" t="str">
        <f t="shared" si="30"/>
        <v/>
      </c>
      <c r="I61" s="23" t="str">
        <f t="shared" si="31"/>
        <v/>
      </c>
      <c r="J61" s="23"/>
      <c r="K61" s="23" t="str">
        <f t="shared" si="32"/>
        <v/>
      </c>
      <c r="L61" s="23" t="str">
        <f t="shared" si="33"/>
        <v/>
      </c>
      <c r="M61" s="23" t="str">
        <f t="shared" si="34"/>
        <v/>
      </c>
      <c r="N61" s="24" t="str">
        <f t="shared" si="35"/>
        <v/>
      </c>
      <c r="O61" s="25"/>
      <c r="P61" s="26"/>
      <c r="Q61" s="27"/>
    </row>
    <row r="62" spans="1:17" ht="20.100000000000001" customHeight="1" x14ac:dyDescent="0.35">
      <c r="A62" s="14"/>
      <c r="B62" s="14"/>
      <c r="C62" s="30"/>
      <c r="D62" s="8" t="e">
        <f t="shared" si="27"/>
        <v>#VALUE!</v>
      </c>
      <c r="E62" s="6" t="e">
        <f t="shared" si="28"/>
        <v>#VALUE!</v>
      </c>
      <c r="F62" s="6"/>
      <c r="G62" s="6" t="str">
        <f t="shared" si="29"/>
        <v/>
      </c>
      <c r="H62" s="6" t="str">
        <f t="shared" si="30"/>
        <v/>
      </c>
      <c r="I62" s="6" t="str">
        <f t="shared" si="31"/>
        <v/>
      </c>
      <c r="J62" s="6"/>
      <c r="K62" s="6" t="str">
        <f t="shared" si="32"/>
        <v/>
      </c>
      <c r="L62" s="6" t="str">
        <f t="shared" si="33"/>
        <v/>
      </c>
      <c r="M62" s="6" t="str">
        <f t="shared" si="34"/>
        <v/>
      </c>
      <c r="N62" s="3" t="str">
        <f t="shared" si="35"/>
        <v/>
      </c>
      <c r="O62" s="14"/>
      <c r="P62" s="15"/>
      <c r="Q62" s="7"/>
    </row>
    <row r="63" spans="1:17" ht="20.100000000000001" customHeight="1" x14ac:dyDescent="0.35">
      <c r="A63" s="14"/>
      <c r="B63" s="14"/>
      <c r="C63" s="30"/>
      <c r="D63" s="8" t="e">
        <f t="shared" si="27"/>
        <v>#VALUE!</v>
      </c>
      <c r="E63" s="6" t="e">
        <f t="shared" si="28"/>
        <v>#VALUE!</v>
      </c>
      <c r="F63" s="6"/>
      <c r="G63" s="6" t="str">
        <f t="shared" si="29"/>
        <v/>
      </c>
      <c r="H63" s="6" t="str">
        <f t="shared" si="30"/>
        <v/>
      </c>
      <c r="I63" s="6" t="str">
        <f t="shared" si="31"/>
        <v/>
      </c>
      <c r="J63" s="6"/>
      <c r="K63" s="6" t="str">
        <f t="shared" si="32"/>
        <v/>
      </c>
      <c r="L63" s="6" t="str">
        <f t="shared" si="33"/>
        <v/>
      </c>
      <c r="M63" s="6" t="str">
        <f t="shared" si="34"/>
        <v/>
      </c>
      <c r="N63" s="3" t="str">
        <f t="shared" si="35"/>
        <v/>
      </c>
      <c r="O63" s="14"/>
      <c r="P63" s="15"/>
      <c r="Q63" s="7"/>
    </row>
    <row r="64" spans="1:17" ht="20.100000000000001" customHeight="1" x14ac:dyDescent="0.35">
      <c r="A64" s="14"/>
      <c r="B64" s="14"/>
      <c r="C64" s="30"/>
      <c r="D64" s="8" t="e">
        <f t="shared" si="27"/>
        <v>#VALUE!</v>
      </c>
      <c r="E64" s="6" t="e">
        <f t="shared" si="28"/>
        <v>#VALUE!</v>
      </c>
      <c r="F64" s="6"/>
      <c r="G64" s="6" t="str">
        <f t="shared" si="29"/>
        <v/>
      </c>
      <c r="H64" s="6" t="str">
        <f t="shared" si="30"/>
        <v/>
      </c>
      <c r="I64" s="6" t="str">
        <f t="shared" si="31"/>
        <v/>
      </c>
      <c r="J64" s="6"/>
      <c r="K64" s="6" t="str">
        <f t="shared" si="32"/>
        <v/>
      </c>
      <c r="L64" s="6" t="str">
        <f t="shared" si="33"/>
        <v/>
      </c>
      <c r="M64" s="6" t="str">
        <f t="shared" si="34"/>
        <v/>
      </c>
      <c r="N64" s="3" t="str">
        <f t="shared" si="35"/>
        <v/>
      </c>
      <c r="O64" s="14"/>
      <c r="P64" s="15"/>
      <c r="Q64" s="7"/>
    </row>
    <row r="65" spans="1:17" ht="20.100000000000001" customHeight="1" x14ac:dyDescent="0.35">
      <c r="A65" s="14"/>
      <c r="B65" s="14"/>
      <c r="C65" s="30"/>
      <c r="D65" s="8" t="e">
        <f t="shared" si="27"/>
        <v>#VALUE!</v>
      </c>
      <c r="E65" s="6" t="e">
        <f t="shared" si="28"/>
        <v>#VALUE!</v>
      </c>
      <c r="F65" s="6"/>
      <c r="G65" s="6" t="str">
        <f t="shared" si="29"/>
        <v/>
      </c>
      <c r="H65" s="6" t="str">
        <f t="shared" si="30"/>
        <v/>
      </c>
      <c r="I65" s="6" t="str">
        <f t="shared" si="31"/>
        <v/>
      </c>
      <c r="J65" s="6"/>
      <c r="K65" s="6" t="str">
        <f t="shared" si="32"/>
        <v/>
      </c>
      <c r="L65" s="6" t="str">
        <f t="shared" si="33"/>
        <v/>
      </c>
      <c r="M65" s="6" t="str">
        <f t="shared" si="34"/>
        <v/>
      </c>
      <c r="N65" s="3" t="str">
        <f t="shared" si="35"/>
        <v/>
      </c>
      <c r="O65" s="14"/>
      <c r="P65" s="15"/>
      <c r="Q65" s="7"/>
    </row>
    <row r="66" spans="1:17" ht="20.100000000000001" customHeight="1" x14ac:dyDescent="0.25">
      <c r="C66" s="31" t="str">
        <f>COUNTIF(E54:E65, "RC") + COUNTIF(E54:E65, "RI") +  COUNTIF(E54:E65, "AC") + COUNTIF(E54:E65, "RR") + COUNTIF(E54:E65, "RU") + COUNTIF(E54:E65, "GR") + COUNTIF(E54:E65, "RP") + COUNTIF(E54:E65, "GC") + COUNTIF(E54:E65, "RB") &amp; " ROLOS (" &amp;
IF(COUNTIF(E54:E65, "RC") &gt; 0, COUNTIF(E54:E65, "RC") &amp; " RC; ", "") &amp;
IF(COUNTIF(E54:E65, "RI") &gt; 0, COUNTIF(E54:E65, "RI") &amp; " RI; ", "") &amp;
IF(COUNTIF(E54:E65, "RR") &gt; 0, COUNTIF(E54:E65, "RR") &amp; " RR; ", "") &amp;
IF(COUNTIF(E54:E65, "RU") &gt; 0, COUNTIF(E54:E65, "RU") &amp; " RU; ", "") &amp;
IF(COUNTIF(E54:E65, "GR") &gt; 0, COUNTIF(E54:E65, "GR") &amp; " GR; ", "") &amp;
IF(COUNTIF(E54:E65, "RP") &gt; 0, COUNTIF(E54:E65, "RP") &amp; " RP; ", "") &amp;
IF(COUNTIF(E54:E65, "GC") &gt; 0, COUNTIF(E54:E65, "GC") &amp; " GC; ", "") &amp;
IF(COUNTIF(E54:E65, "RB") &gt; 0, COUNTIF(E54:E65, "RB") &amp; " RB", "") &amp;
IF(COUNTIF(E54:E65, "AC") &gt; 0, COUNTIF(E54:E65, "AC") &amp; "AC", "")
&amp;")"</f>
        <v>0 ROLOS ()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</row>
    <row r="67" spans="1:17" ht="20.100000000000001" customHeight="1" x14ac:dyDescent="0.25"/>
    <row r="68" spans="1:17" ht="20.100000000000001" customHeight="1" x14ac:dyDescent="0.4">
      <c r="A68" s="21" t="s">
        <v>15</v>
      </c>
      <c r="B68" s="21" t="s">
        <v>19</v>
      </c>
      <c r="C68" s="34" t="s">
        <v>18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ht="20.100000000000001" customHeight="1" x14ac:dyDescent="0.35">
      <c r="A69" s="4"/>
      <c r="B69" s="4"/>
      <c r="C69" s="35"/>
      <c r="D69" s="36"/>
      <c r="E69" s="37"/>
      <c r="F69" s="10"/>
      <c r="G69" s="38" t="s">
        <v>0</v>
      </c>
      <c r="H69" s="39"/>
      <c r="I69" s="40"/>
      <c r="J69" s="10"/>
      <c r="K69" s="41" t="s">
        <v>1</v>
      </c>
      <c r="L69" s="42"/>
      <c r="M69" s="43"/>
      <c r="N69" s="11"/>
      <c r="O69" s="11"/>
      <c r="P69" s="11"/>
      <c r="Q69" s="11"/>
    </row>
    <row r="70" spans="1:17" ht="20.100000000000001" customHeight="1" x14ac:dyDescent="0.3">
      <c r="A70" s="5"/>
      <c r="B70" s="5"/>
      <c r="C70" s="1" t="s">
        <v>6</v>
      </c>
      <c r="D70" s="9" t="s">
        <v>7</v>
      </c>
      <c r="E70" s="1" t="s">
        <v>8</v>
      </c>
      <c r="F70" s="2" t="s">
        <v>16</v>
      </c>
      <c r="G70" s="12" t="s">
        <v>9</v>
      </c>
      <c r="H70" s="12" t="s">
        <v>10</v>
      </c>
      <c r="I70" s="12" t="s">
        <v>11</v>
      </c>
      <c r="J70" s="2" t="s">
        <v>17</v>
      </c>
      <c r="K70" s="13" t="s">
        <v>12</v>
      </c>
      <c r="L70" s="13" t="s">
        <v>13</v>
      </c>
      <c r="M70" s="13" t="s">
        <v>14</v>
      </c>
      <c r="N70" s="11" t="s">
        <v>2</v>
      </c>
      <c r="O70" s="11" t="s">
        <v>3</v>
      </c>
      <c r="P70" s="11" t="s">
        <v>4</v>
      </c>
      <c r="Q70" s="11" t="s">
        <v>5</v>
      </c>
    </row>
    <row r="71" spans="1:17" ht="20.100000000000001" customHeight="1" x14ac:dyDescent="0.35">
      <c r="A71" s="28"/>
      <c r="B71" s="28"/>
      <c r="C71" s="30" t="s">
        <v>40</v>
      </c>
      <c r="D71" s="22" t="e">
        <f t="shared" ref="D71:D80" si="36">LEFT(B71, FIND("-", B71)-1)</f>
        <v>#VALUE!</v>
      </c>
      <c r="E71" s="23" t="e">
        <f t="shared" ref="E71:E80" si="37">MID(B71, FIND("-", B71)+1, FIND("-", B71, FIND("-", B71)+1)-FIND("-", B71)-1)</f>
        <v>#VALUE!</v>
      </c>
      <c r="F71" s="23"/>
      <c r="G71" s="23" t="str">
        <f t="shared" ref="G71:G80" si="38">IF(ISERROR(FIND("-D-", B71)), "", "X")</f>
        <v/>
      </c>
      <c r="H71" s="23" t="str">
        <f t="shared" ref="H71:H80" si="39">IF(ISERROR(FIND("-C-", B71)), "", "X")</f>
        <v/>
      </c>
      <c r="I71" s="23" t="str">
        <f t="shared" ref="I71:I80" si="40">IF(ISERROR(FIND("-E-", B71)), "", "X")</f>
        <v/>
      </c>
      <c r="J71" s="23"/>
      <c r="K71" s="23" t="str">
        <f t="shared" ref="K71:K80" si="41">IF(ISERROR(FIND("P1", A71)), "", "X")</f>
        <v/>
      </c>
      <c r="L71" s="23" t="str">
        <f t="shared" ref="L71:L80" si="42">IF(ISERROR(FIND("P2", A71)), "", "X")</f>
        <v/>
      </c>
      <c r="M71" s="23" t="str">
        <f t="shared" ref="M71:M80" si="43">IF(ISERROR(FIND("P3", A71)), "", "X")</f>
        <v/>
      </c>
      <c r="N71" s="24" t="str">
        <f t="shared" ref="N71:N80" si="44"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71" s="25"/>
      <c r="P71" s="26"/>
      <c r="Q71" s="27"/>
    </row>
    <row r="72" spans="1:17" ht="20.100000000000001" customHeight="1" x14ac:dyDescent="0.35">
      <c r="A72" s="28"/>
      <c r="B72" s="28"/>
      <c r="C72" s="30"/>
      <c r="D72" s="22" t="e">
        <f t="shared" si="36"/>
        <v>#VALUE!</v>
      </c>
      <c r="E72" s="23" t="e">
        <f t="shared" si="37"/>
        <v>#VALUE!</v>
      </c>
      <c r="F72" s="23"/>
      <c r="G72" s="23" t="str">
        <f t="shared" si="38"/>
        <v/>
      </c>
      <c r="H72" s="23" t="str">
        <f t="shared" si="39"/>
        <v/>
      </c>
      <c r="I72" s="23" t="str">
        <f t="shared" si="40"/>
        <v/>
      </c>
      <c r="J72" s="23"/>
      <c r="K72" s="23" t="str">
        <f t="shared" si="41"/>
        <v/>
      </c>
      <c r="L72" s="23" t="str">
        <f t="shared" si="42"/>
        <v/>
      </c>
      <c r="M72" s="23" t="str">
        <f t="shared" si="43"/>
        <v/>
      </c>
      <c r="N72" s="24" t="str">
        <f t="shared" si="44"/>
        <v/>
      </c>
      <c r="O72" s="25"/>
      <c r="P72" s="26"/>
      <c r="Q72" s="27"/>
    </row>
    <row r="73" spans="1:17" ht="20.100000000000001" customHeight="1" x14ac:dyDescent="0.35">
      <c r="A73" s="28"/>
      <c r="B73" s="28"/>
      <c r="C73" s="30"/>
      <c r="D73" s="22" t="e">
        <f t="shared" si="36"/>
        <v>#VALUE!</v>
      </c>
      <c r="E73" s="23" t="e">
        <f t="shared" si="37"/>
        <v>#VALUE!</v>
      </c>
      <c r="F73" s="23"/>
      <c r="G73" s="23" t="str">
        <f t="shared" si="38"/>
        <v/>
      </c>
      <c r="H73" s="23" t="str">
        <f t="shared" si="39"/>
        <v/>
      </c>
      <c r="I73" s="23" t="str">
        <f t="shared" si="40"/>
        <v/>
      </c>
      <c r="J73" s="23"/>
      <c r="K73" s="23" t="str">
        <f t="shared" si="41"/>
        <v/>
      </c>
      <c r="L73" s="23" t="str">
        <f t="shared" si="42"/>
        <v/>
      </c>
      <c r="M73" s="23" t="str">
        <f t="shared" si="43"/>
        <v/>
      </c>
      <c r="N73" s="24" t="str">
        <f t="shared" si="44"/>
        <v/>
      </c>
      <c r="O73" s="25"/>
      <c r="P73" s="26"/>
      <c r="Q73" s="27"/>
    </row>
    <row r="74" spans="1:17" ht="20.100000000000001" customHeight="1" x14ac:dyDescent="0.35">
      <c r="A74" s="16"/>
      <c r="B74" s="16"/>
      <c r="C74" s="30"/>
      <c r="D74" s="22" t="e">
        <f t="shared" si="36"/>
        <v>#VALUE!</v>
      </c>
      <c r="E74" s="23" t="e">
        <f t="shared" si="37"/>
        <v>#VALUE!</v>
      </c>
      <c r="F74" s="23"/>
      <c r="G74" s="23" t="str">
        <f t="shared" si="38"/>
        <v/>
      </c>
      <c r="H74" s="23" t="str">
        <f t="shared" si="39"/>
        <v/>
      </c>
      <c r="I74" s="23" t="str">
        <f t="shared" si="40"/>
        <v/>
      </c>
      <c r="J74" s="23"/>
      <c r="K74" s="23" t="str">
        <f t="shared" si="41"/>
        <v/>
      </c>
      <c r="L74" s="23" t="str">
        <f t="shared" si="42"/>
        <v/>
      </c>
      <c r="M74" s="23" t="str">
        <f t="shared" si="43"/>
        <v/>
      </c>
      <c r="N74" s="24" t="str">
        <f t="shared" si="44"/>
        <v/>
      </c>
      <c r="O74" s="25"/>
      <c r="P74" s="26"/>
      <c r="Q74" s="27"/>
    </row>
    <row r="75" spans="1:17" ht="20.100000000000001" customHeight="1" x14ac:dyDescent="0.35">
      <c r="A75" s="16"/>
      <c r="B75" s="16"/>
      <c r="C75" s="30"/>
      <c r="D75" s="22" t="e">
        <f t="shared" si="36"/>
        <v>#VALUE!</v>
      </c>
      <c r="E75" s="23" t="e">
        <f t="shared" si="37"/>
        <v>#VALUE!</v>
      </c>
      <c r="F75" s="23"/>
      <c r="G75" s="23" t="str">
        <f t="shared" si="38"/>
        <v/>
      </c>
      <c r="H75" s="23" t="str">
        <f t="shared" si="39"/>
        <v/>
      </c>
      <c r="I75" s="23" t="str">
        <f t="shared" si="40"/>
        <v/>
      </c>
      <c r="J75" s="23"/>
      <c r="K75" s="23" t="str">
        <f t="shared" si="41"/>
        <v/>
      </c>
      <c r="L75" s="23" t="str">
        <f t="shared" si="42"/>
        <v/>
      </c>
      <c r="M75" s="23" t="str">
        <f t="shared" si="43"/>
        <v/>
      </c>
      <c r="N75" s="24" t="str">
        <f t="shared" si="44"/>
        <v/>
      </c>
      <c r="O75" s="25"/>
      <c r="P75" s="26"/>
      <c r="Q75" s="27"/>
    </row>
    <row r="76" spans="1:17" ht="20.100000000000001" customHeight="1" x14ac:dyDescent="0.35">
      <c r="A76" s="16"/>
      <c r="B76" s="16"/>
      <c r="C76" s="30"/>
      <c r="D76" s="22" t="e">
        <f t="shared" si="36"/>
        <v>#VALUE!</v>
      </c>
      <c r="E76" s="23" t="e">
        <f t="shared" si="37"/>
        <v>#VALUE!</v>
      </c>
      <c r="F76" s="23"/>
      <c r="G76" s="23" t="str">
        <f t="shared" si="38"/>
        <v/>
      </c>
      <c r="H76" s="23" t="str">
        <f t="shared" si="39"/>
        <v/>
      </c>
      <c r="I76" s="23" t="str">
        <f t="shared" si="40"/>
        <v/>
      </c>
      <c r="J76" s="23"/>
      <c r="K76" s="23" t="str">
        <f t="shared" si="41"/>
        <v/>
      </c>
      <c r="L76" s="23" t="str">
        <f t="shared" si="42"/>
        <v/>
      </c>
      <c r="M76" s="23" t="str">
        <f t="shared" si="43"/>
        <v/>
      </c>
      <c r="N76" s="24" t="str">
        <f t="shared" si="44"/>
        <v/>
      </c>
      <c r="O76" s="25"/>
      <c r="P76" s="26"/>
      <c r="Q76" s="27"/>
    </row>
    <row r="77" spans="1:17" ht="20.100000000000001" customHeight="1" x14ac:dyDescent="0.35">
      <c r="A77" s="14"/>
      <c r="B77" s="14"/>
      <c r="C77" s="30"/>
      <c r="D77" s="8" t="e">
        <f t="shared" si="36"/>
        <v>#VALUE!</v>
      </c>
      <c r="E77" s="6" t="e">
        <f t="shared" si="37"/>
        <v>#VALUE!</v>
      </c>
      <c r="F77" s="6"/>
      <c r="G77" s="6" t="str">
        <f t="shared" si="38"/>
        <v/>
      </c>
      <c r="H77" s="6" t="str">
        <f t="shared" si="39"/>
        <v/>
      </c>
      <c r="I77" s="6" t="str">
        <f t="shared" si="40"/>
        <v/>
      </c>
      <c r="J77" s="6"/>
      <c r="K77" s="6" t="str">
        <f t="shared" si="41"/>
        <v/>
      </c>
      <c r="L77" s="6" t="str">
        <f t="shared" si="42"/>
        <v/>
      </c>
      <c r="M77" s="6" t="str">
        <f t="shared" si="43"/>
        <v/>
      </c>
      <c r="N77" s="3" t="str">
        <f t="shared" si="44"/>
        <v/>
      </c>
      <c r="O77" s="14"/>
      <c r="P77" s="15"/>
      <c r="Q77" s="7"/>
    </row>
    <row r="78" spans="1:17" ht="20.100000000000001" customHeight="1" x14ac:dyDescent="0.35">
      <c r="A78" s="14"/>
      <c r="B78" s="14"/>
      <c r="C78" s="30"/>
      <c r="D78" s="8" t="e">
        <f t="shared" si="36"/>
        <v>#VALUE!</v>
      </c>
      <c r="E78" s="6" t="e">
        <f t="shared" si="37"/>
        <v>#VALUE!</v>
      </c>
      <c r="F78" s="6"/>
      <c r="G78" s="6" t="str">
        <f t="shared" si="38"/>
        <v/>
      </c>
      <c r="H78" s="6" t="str">
        <f t="shared" si="39"/>
        <v/>
      </c>
      <c r="I78" s="6" t="str">
        <f t="shared" si="40"/>
        <v/>
      </c>
      <c r="J78" s="6"/>
      <c r="K78" s="6" t="str">
        <f t="shared" si="41"/>
        <v/>
      </c>
      <c r="L78" s="6" t="str">
        <f t="shared" si="42"/>
        <v/>
      </c>
      <c r="M78" s="6" t="str">
        <f t="shared" si="43"/>
        <v/>
      </c>
      <c r="N78" s="3" t="str">
        <f t="shared" si="44"/>
        <v/>
      </c>
      <c r="O78" s="14"/>
      <c r="P78" s="15"/>
      <c r="Q78" s="7"/>
    </row>
    <row r="79" spans="1:17" ht="20.100000000000001" customHeight="1" x14ac:dyDescent="0.35">
      <c r="A79" s="14"/>
      <c r="B79" s="14"/>
      <c r="C79" s="30"/>
      <c r="D79" s="8" t="e">
        <f t="shared" si="36"/>
        <v>#VALUE!</v>
      </c>
      <c r="E79" s="6" t="e">
        <f t="shared" si="37"/>
        <v>#VALUE!</v>
      </c>
      <c r="F79" s="6"/>
      <c r="G79" s="6" t="str">
        <f t="shared" si="38"/>
        <v/>
      </c>
      <c r="H79" s="6" t="str">
        <f t="shared" si="39"/>
        <v/>
      </c>
      <c r="I79" s="6" t="str">
        <f t="shared" si="40"/>
        <v/>
      </c>
      <c r="J79" s="6"/>
      <c r="K79" s="6" t="str">
        <f t="shared" si="41"/>
        <v/>
      </c>
      <c r="L79" s="6" t="str">
        <f t="shared" si="42"/>
        <v/>
      </c>
      <c r="M79" s="6" t="str">
        <f t="shared" si="43"/>
        <v/>
      </c>
      <c r="N79" s="3" t="str">
        <f t="shared" si="44"/>
        <v/>
      </c>
      <c r="O79" s="14"/>
      <c r="P79" s="15"/>
      <c r="Q79" s="7"/>
    </row>
    <row r="80" spans="1:17" ht="20.100000000000001" customHeight="1" x14ac:dyDescent="0.35">
      <c r="A80" s="14"/>
      <c r="B80" s="14"/>
      <c r="C80" s="30"/>
      <c r="D80" s="8" t="e">
        <f t="shared" si="36"/>
        <v>#VALUE!</v>
      </c>
      <c r="E80" s="6" t="e">
        <f t="shared" si="37"/>
        <v>#VALUE!</v>
      </c>
      <c r="F80" s="6"/>
      <c r="G80" s="6" t="str">
        <f t="shared" si="38"/>
        <v/>
      </c>
      <c r="H80" s="6" t="str">
        <f t="shared" si="39"/>
        <v/>
      </c>
      <c r="I80" s="6" t="str">
        <f t="shared" si="40"/>
        <v/>
      </c>
      <c r="J80" s="6"/>
      <c r="K80" s="6" t="str">
        <f t="shared" si="41"/>
        <v/>
      </c>
      <c r="L80" s="6" t="str">
        <f t="shared" si="42"/>
        <v/>
      </c>
      <c r="M80" s="6" t="str">
        <f t="shared" si="43"/>
        <v/>
      </c>
      <c r="N80" s="3" t="str">
        <f t="shared" si="44"/>
        <v/>
      </c>
      <c r="O80" s="14"/>
      <c r="P80" s="15"/>
      <c r="Q80" s="7"/>
    </row>
    <row r="81" spans="1:17" ht="20.100000000000001" customHeight="1" x14ac:dyDescent="0.25">
      <c r="C81" s="31" t="str">
        <f>COUNTIF(E71:E80, "RC") + COUNTIF(E71:E80, "RI") +  COUNTIF(E71:E80, "AC") + COUNTIF(E71:E80, "RR") + COUNTIF(E71:E80, "RU") + COUNTIF(E71:E80, "GR") + COUNTIF(E71:E80, "RP") + COUNTIF(E71:E80, "GC") + COUNTIF(E71:E80, "RB") &amp; " ROLOS (" &amp;
IF(COUNTIF(E71:E80, "RC") &gt; 0, COUNTIF(E71:E80, "RC") &amp; " RC; ", "") &amp;
IF(COUNTIF(E71:E80, "RI") &gt; 0, COUNTIF(E71:E80, "RI") &amp; " RI; ", "") &amp;
IF(COUNTIF(E71:E80, "RR") &gt; 0, COUNTIF(E71:E80, "RR") &amp; " RR; ", "") &amp;
IF(COUNTIF(E71:E80, "RU") &gt; 0, COUNTIF(E71:E80, "RU") &amp; " RU; ", "") &amp;
IF(COUNTIF(E71:E80, "GR") &gt; 0, COUNTIF(E71:E80, "GR") &amp; " GR; ", "") &amp;
IF(COUNTIF(E71:E80, "RP") &gt; 0, COUNTIF(E71:E80, "RP") &amp; " RP; ", "") &amp;
IF(COUNTIF(E71:E80, "GC") &gt; 0, COUNTIF(E71:E80, "GC") &amp; " GC; ", "") &amp;
IF(COUNTIF(E71:E80, "RB") &gt; 0, COUNTIF(E71:E80, "RB") &amp; " RB", "") &amp;
IF(COUNTIF(E71:E80, "AC") &gt; 0, COUNTIF(E71:E80, "AC") &amp; "AC", "")
&amp;")"</f>
        <v>0 ROLOS ()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/>
    </row>
    <row r="82" spans="1:17" ht="20.100000000000001" customHeight="1" x14ac:dyDescent="0.25"/>
    <row r="83" spans="1:17" ht="20.100000000000001" customHeight="1" x14ac:dyDescent="0.4">
      <c r="A83" s="21" t="s">
        <v>15</v>
      </c>
      <c r="B83" s="21" t="s">
        <v>19</v>
      </c>
      <c r="C83" s="34" t="s">
        <v>18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 spans="1:17" ht="20.100000000000001" customHeight="1" x14ac:dyDescent="0.35">
      <c r="A84" s="4"/>
      <c r="B84" s="4"/>
      <c r="C84" s="35"/>
      <c r="D84" s="36"/>
      <c r="E84" s="37"/>
      <c r="F84" s="10"/>
      <c r="G84" s="38" t="s">
        <v>0</v>
      </c>
      <c r="H84" s="39"/>
      <c r="I84" s="40"/>
      <c r="J84" s="10"/>
      <c r="K84" s="41" t="s">
        <v>1</v>
      </c>
      <c r="L84" s="42"/>
      <c r="M84" s="43"/>
      <c r="N84" s="11"/>
      <c r="O84" s="11"/>
      <c r="P84" s="11"/>
      <c r="Q84" s="11"/>
    </row>
    <row r="85" spans="1:17" ht="20.100000000000001" customHeight="1" x14ac:dyDescent="0.3">
      <c r="A85" s="5"/>
      <c r="B85" s="5"/>
      <c r="C85" s="1" t="s">
        <v>6</v>
      </c>
      <c r="D85" s="9" t="s">
        <v>7</v>
      </c>
      <c r="E85" s="1" t="s">
        <v>8</v>
      </c>
      <c r="F85" s="2" t="s">
        <v>16</v>
      </c>
      <c r="G85" s="12" t="s">
        <v>9</v>
      </c>
      <c r="H85" s="12" t="s">
        <v>10</v>
      </c>
      <c r="I85" s="12" t="s">
        <v>11</v>
      </c>
      <c r="J85" s="2" t="s">
        <v>17</v>
      </c>
      <c r="K85" s="13" t="s">
        <v>12</v>
      </c>
      <c r="L85" s="13" t="s">
        <v>13</v>
      </c>
      <c r="M85" s="13" t="s">
        <v>14</v>
      </c>
      <c r="N85" s="11" t="s">
        <v>2</v>
      </c>
      <c r="O85" s="11" t="s">
        <v>3</v>
      </c>
      <c r="P85" s="11" t="s">
        <v>4</v>
      </c>
      <c r="Q85" s="11" t="s">
        <v>5</v>
      </c>
    </row>
    <row r="86" spans="1:17" ht="20.100000000000001" customHeight="1" x14ac:dyDescent="0.35">
      <c r="A86" s="28"/>
      <c r="B86" s="28"/>
      <c r="C86" s="29" t="s">
        <v>41</v>
      </c>
      <c r="D86" s="17" t="e">
        <f t="shared" ref="D86:D97" si="45">LEFT(B86, FIND("-", B86)-1)</f>
        <v>#VALUE!</v>
      </c>
      <c r="E86" s="18" t="e">
        <f t="shared" ref="E86:E97" si="46">MID(B86, FIND("-", B86)+1, FIND("-", B86, FIND("-", B86)+1)-FIND("-", B86)-1)</f>
        <v>#VALUE!</v>
      </c>
      <c r="F86" s="18"/>
      <c r="G86" s="18" t="str">
        <f t="shared" ref="G86:G97" si="47">IF(ISERROR(FIND("-D-", B86)), "", "X")</f>
        <v/>
      </c>
      <c r="H86" s="18" t="str">
        <f t="shared" ref="H86:H97" si="48">IF(ISERROR(FIND("-C-", B86)), "", "X")</f>
        <v/>
      </c>
      <c r="I86" s="18" t="str">
        <f t="shared" ref="I86:I97" si="49">IF(ISERROR(FIND("-E-", B86)), "", "X")</f>
        <v/>
      </c>
      <c r="J86" s="18"/>
      <c r="K86" s="18" t="str">
        <f t="shared" ref="K86:K97" si="50">IF(ISERROR(FIND("P1", A86)), "", "X")</f>
        <v/>
      </c>
      <c r="L86" s="18" t="str">
        <f t="shared" ref="L86:L97" si="51">IF(ISERROR(FIND("P2", A86)), "", "X")</f>
        <v/>
      </c>
      <c r="M86" s="18" t="str">
        <f t="shared" ref="M86:M97" si="52">IF(ISERROR(FIND("P3", A86)), "", "X")</f>
        <v/>
      </c>
      <c r="N86" s="3" t="str">
        <f t="shared" ref="N86:N97" si="53">IF(ISERROR(FIND("RO", B86)),
    IF(ISERROR(FIND("CD", B86)),
        IF(ISERROR(FIND("CG", B86)),
            IF(ISERROR(FIND("AG", B86)),
                IF(ISERROR(FIND("RT", B86)),
                    IF(ISERROR(FIND("RF", B86)),
                        IF(ISERROR(FIND("AM", B86)),
                            IF(ISERROR(FIND("RP", B86)),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86" s="16"/>
      <c r="P86" s="19"/>
      <c r="Q86" s="20"/>
    </row>
    <row r="87" spans="1:17" ht="20.100000000000001" customHeight="1" x14ac:dyDescent="0.35">
      <c r="A87" s="28"/>
      <c r="B87" s="28"/>
      <c r="C87" s="30"/>
      <c r="D87" s="22" t="e">
        <f t="shared" si="45"/>
        <v>#VALUE!</v>
      </c>
      <c r="E87" s="23" t="e">
        <f t="shared" si="46"/>
        <v>#VALUE!</v>
      </c>
      <c r="F87" s="23"/>
      <c r="G87" s="23" t="str">
        <f t="shared" si="47"/>
        <v/>
      </c>
      <c r="H87" s="23" t="str">
        <f t="shared" si="48"/>
        <v/>
      </c>
      <c r="I87" s="23" t="str">
        <f t="shared" si="49"/>
        <v/>
      </c>
      <c r="J87" s="23"/>
      <c r="K87" s="23" t="str">
        <f t="shared" si="50"/>
        <v/>
      </c>
      <c r="L87" s="23" t="str">
        <f t="shared" si="51"/>
        <v/>
      </c>
      <c r="M87" s="23" t="str">
        <f t="shared" si="52"/>
        <v/>
      </c>
      <c r="N87" s="24" t="str">
        <f t="shared" si="53"/>
        <v/>
      </c>
      <c r="O87" s="25"/>
      <c r="P87" s="26"/>
      <c r="Q87" s="27"/>
    </row>
    <row r="88" spans="1:17" ht="20.100000000000001" customHeight="1" x14ac:dyDescent="0.35">
      <c r="A88" s="28"/>
      <c r="B88" s="28"/>
      <c r="C88" s="30"/>
      <c r="D88" s="22" t="e">
        <f t="shared" si="45"/>
        <v>#VALUE!</v>
      </c>
      <c r="E88" s="23" t="e">
        <f t="shared" si="46"/>
        <v>#VALUE!</v>
      </c>
      <c r="F88" s="23"/>
      <c r="G88" s="23" t="str">
        <f t="shared" si="47"/>
        <v/>
      </c>
      <c r="H88" s="23" t="str">
        <f t="shared" si="48"/>
        <v/>
      </c>
      <c r="I88" s="23" t="str">
        <f t="shared" si="49"/>
        <v/>
      </c>
      <c r="J88" s="23"/>
      <c r="K88" s="23" t="str">
        <f t="shared" si="50"/>
        <v/>
      </c>
      <c r="L88" s="23" t="str">
        <f t="shared" si="51"/>
        <v/>
      </c>
      <c r="M88" s="23" t="str">
        <f t="shared" si="52"/>
        <v/>
      </c>
      <c r="N88" s="24" t="str">
        <f t="shared" si="53"/>
        <v/>
      </c>
      <c r="O88" s="25"/>
      <c r="P88" s="26"/>
      <c r="Q88" s="27"/>
    </row>
    <row r="89" spans="1:17" ht="20.100000000000001" customHeight="1" x14ac:dyDescent="0.35">
      <c r="A89" s="28"/>
      <c r="B89" s="28"/>
      <c r="C89" s="30"/>
      <c r="D89" s="22" t="e">
        <f t="shared" si="45"/>
        <v>#VALUE!</v>
      </c>
      <c r="E89" s="23" t="e">
        <f t="shared" si="46"/>
        <v>#VALUE!</v>
      </c>
      <c r="F89" s="23"/>
      <c r="G89" s="23" t="str">
        <f t="shared" si="47"/>
        <v/>
      </c>
      <c r="H89" s="23" t="str">
        <f t="shared" si="48"/>
        <v/>
      </c>
      <c r="I89" s="23" t="str">
        <f t="shared" si="49"/>
        <v/>
      </c>
      <c r="J89" s="23"/>
      <c r="K89" s="23" t="str">
        <f t="shared" si="50"/>
        <v/>
      </c>
      <c r="L89" s="23" t="str">
        <f t="shared" si="51"/>
        <v/>
      </c>
      <c r="M89" s="23" t="str">
        <f t="shared" si="52"/>
        <v/>
      </c>
      <c r="N89" s="24" t="str">
        <f t="shared" si="53"/>
        <v/>
      </c>
      <c r="O89" s="25"/>
      <c r="P89" s="26"/>
      <c r="Q89" s="27"/>
    </row>
    <row r="90" spans="1:17" ht="20.100000000000001" customHeight="1" x14ac:dyDescent="0.35">
      <c r="A90" s="28"/>
      <c r="B90" s="28"/>
      <c r="C90" s="30"/>
      <c r="D90" s="22" t="e">
        <f t="shared" si="45"/>
        <v>#VALUE!</v>
      </c>
      <c r="E90" s="23" t="e">
        <f t="shared" si="46"/>
        <v>#VALUE!</v>
      </c>
      <c r="F90" s="23"/>
      <c r="G90" s="23" t="str">
        <f t="shared" si="47"/>
        <v/>
      </c>
      <c r="H90" s="23" t="str">
        <f t="shared" si="48"/>
        <v/>
      </c>
      <c r="I90" s="23" t="str">
        <f t="shared" si="49"/>
        <v/>
      </c>
      <c r="J90" s="23"/>
      <c r="K90" s="23" t="str">
        <f t="shared" si="50"/>
        <v/>
      </c>
      <c r="L90" s="23" t="str">
        <f t="shared" si="51"/>
        <v/>
      </c>
      <c r="M90" s="23" t="str">
        <f t="shared" si="52"/>
        <v/>
      </c>
      <c r="N90" s="24" t="str">
        <f t="shared" si="53"/>
        <v/>
      </c>
      <c r="O90" s="25"/>
      <c r="P90" s="26"/>
      <c r="Q90" s="27"/>
    </row>
    <row r="91" spans="1:17" ht="20.100000000000001" customHeight="1" x14ac:dyDescent="0.35">
      <c r="A91" s="16"/>
      <c r="B91" s="16"/>
      <c r="C91" s="30"/>
      <c r="D91" s="22" t="e">
        <f t="shared" si="45"/>
        <v>#VALUE!</v>
      </c>
      <c r="E91" s="23" t="e">
        <f t="shared" si="46"/>
        <v>#VALUE!</v>
      </c>
      <c r="F91" s="23"/>
      <c r="G91" s="23" t="str">
        <f t="shared" si="47"/>
        <v/>
      </c>
      <c r="H91" s="23" t="str">
        <f t="shared" si="48"/>
        <v/>
      </c>
      <c r="I91" s="23" t="str">
        <f t="shared" si="49"/>
        <v/>
      </c>
      <c r="J91" s="23"/>
      <c r="K91" s="23" t="str">
        <f t="shared" si="50"/>
        <v/>
      </c>
      <c r="L91" s="23" t="str">
        <f t="shared" si="51"/>
        <v/>
      </c>
      <c r="M91" s="23" t="str">
        <f t="shared" si="52"/>
        <v/>
      </c>
      <c r="N91" s="24" t="str">
        <f t="shared" si="53"/>
        <v/>
      </c>
      <c r="O91" s="25"/>
      <c r="P91" s="26"/>
      <c r="Q91" s="27"/>
    </row>
    <row r="92" spans="1:17" ht="20.100000000000001" customHeight="1" x14ac:dyDescent="0.35">
      <c r="A92" s="16"/>
      <c r="B92" s="16"/>
      <c r="C92" s="30"/>
      <c r="D92" s="22" t="e">
        <f t="shared" si="45"/>
        <v>#VALUE!</v>
      </c>
      <c r="E92" s="23" t="e">
        <f t="shared" si="46"/>
        <v>#VALUE!</v>
      </c>
      <c r="F92" s="23"/>
      <c r="G92" s="23" t="str">
        <f t="shared" si="47"/>
        <v/>
      </c>
      <c r="H92" s="23" t="str">
        <f t="shared" si="48"/>
        <v/>
      </c>
      <c r="I92" s="23" t="str">
        <f t="shared" si="49"/>
        <v/>
      </c>
      <c r="J92" s="23"/>
      <c r="K92" s="23" t="str">
        <f t="shared" si="50"/>
        <v/>
      </c>
      <c r="L92" s="23" t="str">
        <f t="shared" si="51"/>
        <v/>
      </c>
      <c r="M92" s="23" t="str">
        <f t="shared" si="52"/>
        <v/>
      </c>
      <c r="N92" s="24" t="str">
        <f t="shared" si="53"/>
        <v/>
      </c>
      <c r="O92" s="25"/>
      <c r="P92" s="26"/>
      <c r="Q92" s="27"/>
    </row>
    <row r="93" spans="1:17" ht="20.100000000000001" customHeight="1" x14ac:dyDescent="0.35">
      <c r="A93" s="16"/>
      <c r="B93" s="16"/>
      <c r="C93" s="30"/>
      <c r="D93" s="22" t="e">
        <f t="shared" si="45"/>
        <v>#VALUE!</v>
      </c>
      <c r="E93" s="23" t="e">
        <f t="shared" si="46"/>
        <v>#VALUE!</v>
      </c>
      <c r="F93" s="23"/>
      <c r="G93" s="23" t="str">
        <f t="shared" si="47"/>
        <v/>
      </c>
      <c r="H93" s="23" t="str">
        <f t="shared" si="48"/>
        <v/>
      </c>
      <c r="I93" s="23" t="str">
        <f t="shared" si="49"/>
        <v/>
      </c>
      <c r="J93" s="23"/>
      <c r="K93" s="23" t="str">
        <f t="shared" si="50"/>
        <v/>
      </c>
      <c r="L93" s="23" t="str">
        <f t="shared" si="51"/>
        <v/>
      </c>
      <c r="M93" s="23" t="str">
        <f t="shared" si="52"/>
        <v/>
      </c>
      <c r="N93" s="24" t="str">
        <f t="shared" si="53"/>
        <v/>
      </c>
      <c r="O93" s="25"/>
      <c r="P93" s="26"/>
      <c r="Q93" s="27"/>
    </row>
    <row r="94" spans="1:17" ht="20.100000000000001" customHeight="1" x14ac:dyDescent="0.35">
      <c r="A94" s="14"/>
      <c r="B94" s="14"/>
      <c r="C94" s="30"/>
      <c r="D94" s="8" t="e">
        <f t="shared" si="45"/>
        <v>#VALUE!</v>
      </c>
      <c r="E94" s="6" t="e">
        <f t="shared" si="46"/>
        <v>#VALUE!</v>
      </c>
      <c r="F94" s="6"/>
      <c r="G94" s="6" t="str">
        <f t="shared" si="47"/>
        <v/>
      </c>
      <c r="H94" s="6" t="str">
        <f t="shared" si="48"/>
        <v/>
      </c>
      <c r="I94" s="6" t="str">
        <f t="shared" si="49"/>
        <v/>
      </c>
      <c r="J94" s="6"/>
      <c r="K94" s="6" t="str">
        <f t="shared" si="50"/>
        <v/>
      </c>
      <c r="L94" s="6" t="str">
        <f t="shared" si="51"/>
        <v/>
      </c>
      <c r="M94" s="6" t="str">
        <f t="shared" si="52"/>
        <v/>
      </c>
      <c r="N94" s="3" t="str">
        <f t="shared" si="53"/>
        <v/>
      </c>
      <c r="O94" s="14"/>
      <c r="P94" s="15"/>
      <c r="Q94" s="7"/>
    </row>
    <row r="95" spans="1:17" ht="20.100000000000001" customHeight="1" x14ac:dyDescent="0.35">
      <c r="A95" s="14"/>
      <c r="B95" s="14"/>
      <c r="C95" s="30"/>
      <c r="D95" s="8" t="e">
        <f t="shared" si="45"/>
        <v>#VALUE!</v>
      </c>
      <c r="E95" s="6" t="e">
        <f t="shared" si="46"/>
        <v>#VALUE!</v>
      </c>
      <c r="F95" s="6"/>
      <c r="G95" s="6" t="str">
        <f t="shared" si="47"/>
        <v/>
      </c>
      <c r="H95" s="6" t="str">
        <f t="shared" si="48"/>
        <v/>
      </c>
      <c r="I95" s="6" t="str">
        <f t="shared" si="49"/>
        <v/>
      </c>
      <c r="J95" s="6"/>
      <c r="K95" s="6" t="str">
        <f t="shared" si="50"/>
        <v/>
      </c>
      <c r="L95" s="6" t="str">
        <f t="shared" si="51"/>
        <v/>
      </c>
      <c r="M95" s="6" t="str">
        <f t="shared" si="52"/>
        <v/>
      </c>
      <c r="N95" s="3" t="str">
        <f t="shared" si="53"/>
        <v/>
      </c>
      <c r="O95" s="14"/>
      <c r="P95" s="15"/>
      <c r="Q95" s="7"/>
    </row>
    <row r="96" spans="1:17" ht="20.100000000000001" customHeight="1" x14ac:dyDescent="0.35">
      <c r="A96" s="14"/>
      <c r="B96" s="14"/>
      <c r="C96" s="30"/>
      <c r="D96" s="8" t="e">
        <f t="shared" si="45"/>
        <v>#VALUE!</v>
      </c>
      <c r="E96" s="6" t="e">
        <f t="shared" si="46"/>
        <v>#VALUE!</v>
      </c>
      <c r="F96" s="6"/>
      <c r="G96" s="6" t="str">
        <f t="shared" si="47"/>
        <v/>
      </c>
      <c r="H96" s="6" t="str">
        <f t="shared" si="48"/>
        <v/>
      </c>
      <c r="I96" s="6" t="str">
        <f t="shared" si="49"/>
        <v/>
      </c>
      <c r="J96" s="6"/>
      <c r="K96" s="6" t="str">
        <f t="shared" si="50"/>
        <v/>
      </c>
      <c r="L96" s="6" t="str">
        <f t="shared" si="51"/>
        <v/>
      </c>
      <c r="M96" s="6" t="str">
        <f t="shared" si="52"/>
        <v/>
      </c>
      <c r="N96" s="3" t="str">
        <f t="shared" si="53"/>
        <v/>
      </c>
      <c r="O96" s="14"/>
      <c r="P96" s="15"/>
      <c r="Q96" s="7"/>
    </row>
    <row r="97" spans="1:17" ht="20.100000000000001" customHeight="1" x14ac:dyDescent="0.35">
      <c r="A97" s="14"/>
      <c r="B97" s="14"/>
      <c r="C97" s="30"/>
      <c r="D97" s="8" t="e">
        <f t="shared" si="45"/>
        <v>#VALUE!</v>
      </c>
      <c r="E97" s="6" t="e">
        <f t="shared" si="46"/>
        <v>#VALUE!</v>
      </c>
      <c r="F97" s="6"/>
      <c r="G97" s="6" t="str">
        <f t="shared" si="47"/>
        <v/>
      </c>
      <c r="H97" s="6" t="str">
        <f t="shared" si="48"/>
        <v/>
      </c>
      <c r="I97" s="6" t="str">
        <f t="shared" si="49"/>
        <v/>
      </c>
      <c r="J97" s="6"/>
      <c r="K97" s="6" t="str">
        <f t="shared" si="50"/>
        <v/>
      </c>
      <c r="L97" s="6" t="str">
        <f t="shared" si="51"/>
        <v/>
      </c>
      <c r="M97" s="6" t="str">
        <f t="shared" si="52"/>
        <v/>
      </c>
      <c r="N97" s="3" t="str">
        <f t="shared" si="53"/>
        <v/>
      </c>
      <c r="O97" s="14"/>
      <c r="P97" s="15"/>
      <c r="Q97" s="7"/>
    </row>
    <row r="98" spans="1:17" ht="20.100000000000001" customHeight="1" x14ac:dyDescent="0.25">
      <c r="C98" s="31" t="str">
        <f>COUNTIF(E86:E97, "RC") + COUNTIF(E86:E97, "RI") +  COUNTIF(E86:E97, "AC") + COUNTIF(E86:E97, "RR") + COUNTIF(E86:E97, "RU") + COUNTIF(E86:E97, "GR") + COUNTIF(E86:E97, "RP") + COUNTIF(E86:E97, "GC") + COUNTIF(E86:E97, "RB") &amp; " ROLOS (" &amp;
IF(COUNTIF(E86:E97, "RC") &gt; 0, COUNTIF(E86:E97, "RC") &amp; " RC; ", "") &amp;
IF(COUNTIF(E86:E97, "RI") &gt; 0, COUNTIF(E86:E97, "RI") &amp; " RI; ", "") &amp;
IF(COUNTIF(E86:E97, "RR") &gt; 0, COUNTIF(E86:E97, "RR") &amp; " RR; ", "") &amp;
IF(COUNTIF(E86:E97, "RU") &gt; 0, COUNTIF(E86:E97, "RU") &amp; " RU; ", "") &amp;
IF(COUNTIF(E86:E97, "GR") &gt; 0, COUNTIF(E86:E97, "GR") &amp; " GR; ", "") &amp;
IF(COUNTIF(E86:E97, "RP") &gt; 0, COUNTIF(E86:E97, "RP") &amp; " RP; ", "") &amp;
IF(COUNTIF(E86:E97, "GC") &gt; 0, COUNTIF(E86:E97, "GC") &amp; " GC; ", "") &amp;
IF(COUNTIF(E86:E97, "RB") &gt; 0, COUNTIF(E86:E97, "RB") &amp; " RB", "") &amp;
IF(COUNTIF(E86:E97, "AC") &gt; 0, COUNTIF(E86:E97, "AC") &amp; "AC", "")
&amp;")"</f>
        <v>0 ROLOS ()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3"/>
    </row>
    <row r="99" spans="1:17" ht="20.100000000000001" customHeight="1" x14ac:dyDescent="0.25"/>
    <row r="100" spans="1:17" ht="20.100000000000001" customHeight="1" x14ac:dyDescent="0.4">
      <c r="A100" s="21" t="s">
        <v>15</v>
      </c>
      <c r="B100" s="21" t="s">
        <v>19</v>
      </c>
      <c r="C100" s="34" t="s">
        <v>18</v>
      </c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 spans="1:17" ht="20.100000000000001" customHeight="1" x14ac:dyDescent="0.35">
      <c r="A101" s="4"/>
      <c r="B101" s="4"/>
      <c r="C101" s="35"/>
      <c r="D101" s="36"/>
      <c r="E101" s="37"/>
      <c r="F101" s="10"/>
      <c r="G101" s="38" t="s">
        <v>0</v>
      </c>
      <c r="H101" s="39"/>
      <c r="I101" s="40"/>
      <c r="J101" s="10"/>
      <c r="K101" s="41" t="s">
        <v>1</v>
      </c>
      <c r="L101" s="42"/>
      <c r="M101" s="43"/>
      <c r="N101" s="11"/>
      <c r="O101" s="11"/>
      <c r="P101" s="11"/>
      <c r="Q101" s="11"/>
    </row>
    <row r="102" spans="1:17" ht="20.100000000000001" customHeight="1" x14ac:dyDescent="0.3">
      <c r="A102" s="5"/>
      <c r="B102" s="5"/>
      <c r="C102" s="1" t="s">
        <v>6</v>
      </c>
      <c r="D102" s="9" t="s">
        <v>7</v>
      </c>
      <c r="E102" s="1" t="s">
        <v>8</v>
      </c>
      <c r="F102" s="2" t="s">
        <v>16</v>
      </c>
      <c r="G102" s="12" t="s">
        <v>9</v>
      </c>
      <c r="H102" s="12" t="s">
        <v>10</v>
      </c>
      <c r="I102" s="12" t="s">
        <v>11</v>
      </c>
      <c r="J102" s="2" t="s">
        <v>17</v>
      </c>
      <c r="K102" s="13" t="s">
        <v>12</v>
      </c>
      <c r="L102" s="13" t="s">
        <v>13</v>
      </c>
      <c r="M102" s="13" t="s">
        <v>14</v>
      </c>
      <c r="N102" s="11" t="s">
        <v>2</v>
      </c>
      <c r="O102" s="11" t="s">
        <v>3</v>
      </c>
      <c r="P102" s="11" t="s">
        <v>4</v>
      </c>
      <c r="Q102" s="11" t="s">
        <v>5</v>
      </c>
    </row>
    <row r="103" spans="1:17" ht="20.100000000000001" customHeight="1" x14ac:dyDescent="0.35">
      <c r="A103" s="28"/>
      <c r="B103" s="28"/>
      <c r="C103" s="29" t="s">
        <v>42</v>
      </c>
      <c r="D103" s="17" t="e">
        <f t="shared" ref="D103:D114" si="54">LEFT(B103, FIND("-", B103)-1)</f>
        <v>#VALUE!</v>
      </c>
      <c r="E103" s="18" t="e">
        <f t="shared" ref="E103:E114" si="55">MID(B103, FIND("-", B103)+1, FIND("-", B103, FIND("-", B103)+1)-FIND("-", B103)-1)</f>
        <v>#VALUE!</v>
      </c>
      <c r="F103" s="18"/>
      <c r="G103" s="18" t="str">
        <f t="shared" ref="G103:G114" si="56">IF(ISERROR(FIND("-D-", B103)), "", "X")</f>
        <v/>
      </c>
      <c r="H103" s="18" t="str">
        <f t="shared" ref="H103:H114" si="57">IF(ISERROR(FIND("-C-", B103)), "", "X")</f>
        <v/>
      </c>
      <c r="I103" s="18" t="str">
        <f t="shared" ref="I103:I114" si="58">IF(ISERROR(FIND("-E-", B103)), "", "X")</f>
        <v/>
      </c>
      <c r="J103" s="18"/>
      <c r="K103" s="18" t="str">
        <f t="shared" ref="K103:K114" si="59">IF(ISERROR(FIND("P1", A103)), "", "X")</f>
        <v/>
      </c>
      <c r="L103" s="18" t="str">
        <f t="shared" ref="L103:L114" si="60">IF(ISERROR(FIND("P2", A103)), "", "X")</f>
        <v/>
      </c>
      <c r="M103" s="18" t="str">
        <f t="shared" ref="M103:M114" si="61">IF(ISERROR(FIND("P3", A103)), "", "X")</f>
        <v/>
      </c>
      <c r="N103" s="3" t="str">
        <f t="shared" ref="N103:N114" si="62">IF(ISERROR(FIND("RO", B103)),
    IF(ISERROR(FIND("CD", B103)),
        IF(ISERROR(FIND("CG", B103)),
            IF(ISERROR(FIND("AG", B103)),
                IF(ISERROR(FIND("RT", B103)),
                    IF(ISERROR(FIND("RF", B103)),
                        IF(ISERROR(FIND("AM", B103)),
                            IF(ISERROR(FIND("RP", B103)),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103" s="16"/>
      <c r="P103" s="19"/>
      <c r="Q103" s="20"/>
    </row>
    <row r="104" spans="1:17" ht="20.100000000000001" customHeight="1" x14ac:dyDescent="0.35">
      <c r="A104" s="28"/>
      <c r="B104" s="28"/>
      <c r="C104" s="30"/>
      <c r="D104" s="22" t="e">
        <f t="shared" si="54"/>
        <v>#VALUE!</v>
      </c>
      <c r="E104" s="23" t="e">
        <f t="shared" si="55"/>
        <v>#VALUE!</v>
      </c>
      <c r="F104" s="23"/>
      <c r="G104" s="23" t="str">
        <f t="shared" si="56"/>
        <v/>
      </c>
      <c r="H104" s="23" t="str">
        <f t="shared" si="57"/>
        <v/>
      </c>
      <c r="I104" s="23" t="str">
        <f t="shared" si="58"/>
        <v/>
      </c>
      <c r="J104" s="23"/>
      <c r="K104" s="23" t="str">
        <f t="shared" si="59"/>
        <v/>
      </c>
      <c r="L104" s="23" t="str">
        <f t="shared" si="60"/>
        <v/>
      </c>
      <c r="M104" s="23" t="str">
        <f t="shared" si="61"/>
        <v/>
      </c>
      <c r="N104" s="24" t="str">
        <f t="shared" si="62"/>
        <v/>
      </c>
      <c r="O104" s="25"/>
      <c r="P104" s="26"/>
      <c r="Q104" s="27"/>
    </row>
    <row r="105" spans="1:17" ht="20.100000000000001" customHeight="1" x14ac:dyDescent="0.35">
      <c r="A105" s="28"/>
      <c r="B105" s="28"/>
      <c r="C105" s="30"/>
      <c r="D105" s="22" t="e">
        <f t="shared" si="54"/>
        <v>#VALUE!</v>
      </c>
      <c r="E105" s="23" t="e">
        <f t="shared" si="55"/>
        <v>#VALUE!</v>
      </c>
      <c r="F105" s="23"/>
      <c r="G105" s="23" t="str">
        <f t="shared" si="56"/>
        <v/>
      </c>
      <c r="H105" s="23" t="str">
        <f t="shared" si="57"/>
        <v/>
      </c>
      <c r="I105" s="23" t="str">
        <f t="shared" si="58"/>
        <v/>
      </c>
      <c r="J105" s="23"/>
      <c r="K105" s="23" t="str">
        <f t="shared" si="59"/>
        <v/>
      </c>
      <c r="L105" s="23" t="str">
        <f t="shared" si="60"/>
        <v/>
      </c>
      <c r="M105" s="23" t="str">
        <f t="shared" si="61"/>
        <v/>
      </c>
      <c r="N105" s="24" t="str">
        <f t="shared" si="62"/>
        <v/>
      </c>
      <c r="O105" s="25"/>
      <c r="P105" s="26"/>
      <c r="Q105" s="27"/>
    </row>
    <row r="106" spans="1:17" ht="20.100000000000001" customHeight="1" x14ac:dyDescent="0.35">
      <c r="A106" s="28"/>
      <c r="B106" s="28"/>
      <c r="C106" s="30"/>
      <c r="D106" s="22" t="e">
        <f t="shared" si="54"/>
        <v>#VALUE!</v>
      </c>
      <c r="E106" s="23" t="e">
        <f t="shared" si="55"/>
        <v>#VALUE!</v>
      </c>
      <c r="F106" s="23"/>
      <c r="G106" s="23" t="str">
        <f t="shared" si="56"/>
        <v/>
      </c>
      <c r="H106" s="23" t="str">
        <f t="shared" si="57"/>
        <v/>
      </c>
      <c r="I106" s="23" t="str">
        <f t="shared" si="58"/>
        <v/>
      </c>
      <c r="J106" s="23"/>
      <c r="K106" s="23" t="str">
        <f t="shared" si="59"/>
        <v/>
      </c>
      <c r="L106" s="23" t="str">
        <f t="shared" si="60"/>
        <v/>
      </c>
      <c r="M106" s="23" t="str">
        <f t="shared" si="61"/>
        <v/>
      </c>
      <c r="N106" s="24" t="str">
        <f t="shared" si="62"/>
        <v/>
      </c>
      <c r="O106" s="25"/>
      <c r="P106" s="26"/>
      <c r="Q106" s="27"/>
    </row>
    <row r="107" spans="1:17" ht="20.100000000000001" customHeight="1" x14ac:dyDescent="0.35">
      <c r="A107" s="28"/>
      <c r="B107" s="28"/>
      <c r="C107" s="30"/>
      <c r="D107" s="22" t="e">
        <f t="shared" si="54"/>
        <v>#VALUE!</v>
      </c>
      <c r="E107" s="23" t="e">
        <f t="shared" si="55"/>
        <v>#VALUE!</v>
      </c>
      <c r="F107" s="23"/>
      <c r="G107" s="23" t="str">
        <f t="shared" si="56"/>
        <v/>
      </c>
      <c r="H107" s="23" t="str">
        <f t="shared" si="57"/>
        <v/>
      </c>
      <c r="I107" s="23" t="str">
        <f t="shared" si="58"/>
        <v/>
      </c>
      <c r="J107" s="23"/>
      <c r="K107" s="23" t="str">
        <f t="shared" si="59"/>
        <v/>
      </c>
      <c r="L107" s="23" t="str">
        <f t="shared" si="60"/>
        <v/>
      </c>
      <c r="M107" s="23" t="str">
        <f t="shared" si="61"/>
        <v/>
      </c>
      <c r="N107" s="24" t="str">
        <f t="shared" si="62"/>
        <v/>
      </c>
      <c r="O107" s="25"/>
      <c r="P107" s="26"/>
      <c r="Q107" s="27"/>
    </row>
    <row r="108" spans="1:17" ht="20.100000000000001" customHeight="1" x14ac:dyDescent="0.35">
      <c r="A108" s="16"/>
      <c r="B108" s="16"/>
      <c r="C108" s="30"/>
      <c r="D108" s="22" t="e">
        <f t="shared" si="54"/>
        <v>#VALUE!</v>
      </c>
      <c r="E108" s="23" t="e">
        <f t="shared" si="55"/>
        <v>#VALUE!</v>
      </c>
      <c r="F108" s="23"/>
      <c r="G108" s="23" t="str">
        <f t="shared" si="56"/>
        <v/>
      </c>
      <c r="H108" s="23" t="str">
        <f t="shared" si="57"/>
        <v/>
      </c>
      <c r="I108" s="23" t="str">
        <f t="shared" si="58"/>
        <v/>
      </c>
      <c r="J108" s="23"/>
      <c r="K108" s="23" t="str">
        <f t="shared" si="59"/>
        <v/>
      </c>
      <c r="L108" s="23" t="str">
        <f t="shared" si="60"/>
        <v/>
      </c>
      <c r="M108" s="23" t="str">
        <f t="shared" si="61"/>
        <v/>
      </c>
      <c r="N108" s="24" t="str">
        <f t="shared" si="62"/>
        <v/>
      </c>
      <c r="O108" s="25"/>
      <c r="P108" s="26"/>
      <c r="Q108" s="27"/>
    </row>
    <row r="109" spans="1:17" ht="20.100000000000001" customHeight="1" x14ac:dyDescent="0.35">
      <c r="A109" s="16"/>
      <c r="B109" s="16"/>
      <c r="C109" s="30"/>
      <c r="D109" s="22" t="e">
        <f t="shared" si="54"/>
        <v>#VALUE!</v>
      </c>
      <c r="E109" s="23" t="e">
        <f t="shared" si="55"/>
        <v>#VALUE!</v>
      </c>
      <c r="F109" s="23"/>
      <c r="G109" s="23" t="str">
        <f t="shared" si="56"/>
        <v/>
      </c>
      <c r="H109" s="23" t="str">
        <f t="shared" si="57"/>
        <v/>
      </c>
      <c r="I109" s="23" t="str">
        <f t="shared" si="58"/>
        <v/>
      </c>
      <c r="J109" s="23"/>
      <c r="K109" s="23" t="str">
        <f t="shared" si="59"/>
        <v/>
      </c>
      <c r="L109" s="23" t="str">
        <f t="shared" si="60"/>
        <v/>
      </c>
      <c r="M109" s="23" t="str">
        <f t="shared" si="61"/>
        <v/>
      </c>
      <c r="N109" s="24" t="str">
        <f t="shared" si="62"/>
        <v/>
      </c>
      <c r="O109" s="25"/>
      <c r="P109" s="26"/>
      <c r="Q109" s="27"/>
    </row>
    <row r="110" spans="1:17" ht="20.100000000000001" customHeight="1" x14ac:dyDescent="0.35">
      <c r="A110" s="16"/>
      <c r="B110" s="16"/>
      <c r="C110" s="30"/>
      <c r="D110" s="22" t="e">
        <f t="shared" si="54"/>
        <v>#VALUE!</v>
      </c>
      <c r="E110" s="23" t="e">
        <f t="shared" si="55"/>
        <v>#VALUE!</v>
      </c>
      <c r="F110" s="23"/>
      <c r="G110" s="23" t="str">
        <f t="shared" si="56"/>
        <v/>
      </c>
      <c r="H110" s="23" t="str">
        <f t="shared" si="57"/>
        <v/>
      </c>
      <c r="I110" s="23" t="str">
        <f t="shared" si="58"/>
        <v/>
      </c>
      <c r="J110" s="23"/>
      <c r="K110" s="23" t="str">
        <f t="shared" si="59"/>
        <v/>
      </c>
      <c r="L110" s="23" t="str">
        <f t="shared" si="60"/>
        <v/>
      </c>
      <c r="M110" s="23" t="str">
        <f t="shared" si="61"/>
        <v/>
      </c>
      <c r="N110" s="24" t="str">
        <f t="shared" si="62"/>
        <v/>
      </c>
      <c r="O110" s="25"/>
      <c r="P110" s="26"/>
      <c r="Q110" s="27"/>
    </row>
    <row r="111" spans="1:17" ht="20.100000000000001" customHeight="1" x14ac:dyDescent="0.35">
      <c r="A111" s="14"/>
      <c r="B111" s="14"/>
      <c r="C111" s="30"/>
      <c r="D111" s="8" t="e">
        <f t="shared" si="54"/>
        <v>#VALUE!</v>
      </c>
      <c r="E111" s="6" t="e">
        <f t="shared" si="55"/>
        <v>#VALUE!</v>
      </c>
      <c r="F111" s="6"/>
      <c r="G111" s="6" t="str">
        <f t="shared" si="56"/>
        <v/>
      </c>
      <c r="H111" s="6" t="str">
        <f t="shared" si="57"/>
        <v/>
      </c>
      <c r="I111" s="6" t="str">
        <f t="shared" si="58"/>
        <v/>
      </c>
      <c r="J111" s="6"/>
      <c r="K111" s="6" t="str">
        <f t="shared" si="59"/>
        <v/>
      </c>
      <c r="L111" s="6" t="str">
        <f t="shared" si="60"/>
        <v/>
      </c>
      <c r="M111" s="6" t="str">
        <f t="shared" si="61"/>
        <v/>
      </c>
      <c r="N111" s="3" t="str">
        <f t="shared" si="62"/>
        <v/>
      </c>
      <c r="O111" s="14"/>
      <c r="P111" s="15"/>
      <c r="Q111" s="7"/>
    </row>
    <row r="112" spans="1:17" ht="20.100000000000001" customHeight="1" x14ac:dyDescent="0.35">
      <c r="A112" s="14"/>
      <c r="B112" s="14"/>
      <c r="C112" s="30"/>
      <c r="D112" s="8" t="e">
        <f t="shared" si="54"/>
        <v>#VALUE!</v>
      </c>
      <c r="E112" s="6" t="e">
        <f t="shared" si="55"/>
        <v>#VALUE!</v>
      </c>
      <c r="F112" s="6"/>
      <c r="G112" s="6" t="str">
        <f t="shared" si="56"/>
        <v/>
      </c>
      <c r="H112" s="6" t="str">
        <f t="shared" si="57"/>
        <v/>
      </c>
      <c r="I112" s="6" t="str">
        <f t="shared" si="58"/>
        <v/>
      </c>
      <c r="J112" s="6"/>
      <c r="K112" s="6" t="str">
        <f t="shared" si="59"/>
        <v/>
      </c>
      <c r="L112" s="6" t="str">
        <f t="shared" si="60"/>
        <v/>
      </c>
      <c r="M112" s="6" t="str">
        <f t="shared" si="61"/>
        <v/>
      </c>
      <c r="N112" s="3" t="str">
        <f t="shared" si="62"/>
        <v/>
      </c>
      <c r="O112" s="14"/>
      <c r="P112" s="15"/>
      <c r="Q112" s="7"/>
    </row>
    <row r="113" spans="1:17" ht="20.100000000000001" customHeight="1" x14ac:dyDescent="0.35">
      <c r="A113" s="14"/>
      <c r="B113" s="14"/>
      <c r="C113" s="30"/>
      <c r="D113" s="8" t="e">
        <f t="shared" si="54"/>
        <v>#VALUE!</v>
      </c>
      <c r="E113" s="6" t="e">
        <f t="shared" si="55"/>
        <v>#VALUE!</v>
      </c>
      <c r="F113" s="6"/>
      <c r="G113" s="6" t="str">
        <f t="shared" si="56"/>
        <v/>
      </c>
      <c r="H113" s="6" t="str">
        <f t="shared" si="57"/>
        <v/>
      </c>
      <c r="I113" s="6" t="str">
        <f t="shared" si="58"/>
        <v/>
      </c>
      <c r="J113" s="6"/>
      <c r="K113" s="6" t="str">
        <f t="shared" si="59"/>
        <v/>
      </c>
      <c r="L113" s="6" t="str">
        <f t="shared" si="60"/>
        <v/>
      </c>
      <c r="M113" s="6" t="str">
        <f t="shared" si="61"/>
        <v/>
      </c>
      <c r="N113" s="3" t="str">
        <f t="shared" si="62"/>
        <v/>
      </c>
      <c r="O113" s="14"/>
      <c r="P113" s="15"/>
      <c r="Q113" s="7"/>
    </row>
    <row r="114" spans="1:17" ht="20.100000000000001" customHeight="1" x14ac:dyDescent="0.35">
      <c r="A114" s="14"/>
      <c r="B114" s="14"/>
      <c r="C114" s="30"/>
      <c r="D114" s="8" t="e">
        <f t="shared" si="54"/>
        <v>#VALUE!</v>
      </c>
      <c r="E114" s="6" t="e">
        <f t="shared" si="55"/>
        <v>#VALUE!</v>
      </c>
      <c r="F114" s="6"/>
      <c r="G114" s="6" t="str">
        <f t="shared" si="56"/>
        <v/>
      </c>
      <c r="H114" s="6" t="str">
        <f t="shared" si="57"/>
        <v/>
      </c>
      <c r="I114" s="6" t="str">
        <f t="shared" si="58"/>
        <v/>
      </c>
      <c r="J114" s="6"/>
      <c r="K114" s="6" t="str">
        <f t="shared" si="59"/>
        <v/>
      </c>
      <c r="L114" s="6" t="str">
        <f t="shared" si="60"/>
        <v/>
      </c>
      <c r="M114" s="6" t="str">
        <f t="shared" si="61"/>
        <v/>
      </c>
      <c r="N114" s="3" t="str">
        <f t="shared" si="62"/>
        <v/>
      </c>
      <c r="O114" s="14"/>
      <c r="P114" s="15"/>
      <c r="Q114" s="7"/>
    </row>
    <row r="115" spans="1:17" ht="20.100000000000001" customHeight="1" x14ac:dyDescent="0.25">
      <c r="C115" s="31" t="str">
        <f>COUNTIF(E103:E114, "RC") + COUNTIF(E103:E114, "RI") +  COUNTIF(E103:E114, "AC") + COUNTIF(E103:E114, "RR") + COUNTIF(E103:E114, "RU") + COUNTIF(E103:E114, "GR") + COUNTIF(E103:E114, "RP") + COUNTIF(E103:E114, "GC") + COUNTIF(E103:E114, "RB") &amp; " ROLOS (" &amp;
IF(COUNTIF(E103:E114, "RC") &gt; 0, COUNTIF(E103:E114, "RC") &amp; " RC; ", "") &amp;
IF(COUNTIF(E103:E114, "RI") &gt; 0, COUNTIF(E103:E114, "RI") &amp; " RI; ", "") &amp;
IF(COUNTIF(E103:E114, "RR") &gt; 0, COUNTIF(E103:E114, "RR") &amp; " RR; ", "") &amp;
IF(COUNTIF(E103:E114, "RU") &gt; 0, COUNTIF(E103:E114, "RU") &amp; " RU; ", "") &amp;
IF(COUNTIF(E103:E114, "GR") &gt; 0, COUNTIF(E103:E114, "GR") &amp; " GR; ", "") &amp;
IF(COUNTIF(E103:E114, "RP") &gt; 0, COUNTIF(E103:E114, "RP") &amp; " RP; ", "") &amp;
IF(COUNTIF(E103:E114, "GC") &gt; 0, COUNTIF(E103:E114, "GC") &amp; " GC; ", "") &amp;
IF(COUNTIF(E103:E114, "RB") &gt; 0, COUNTIF(E103:E114, "RB") &amp; " RB", "") &amp;
IF(COUNTIF(E103:E114, "AC") &gt; 0, COUNTIF(E103:E114, "AC") &amp; "AC", "")
&amp;")"</f>
        <v>0 ROLOS ()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3"/>
    </row>
    <row r="116" spans="1:17" ht="20.100000000000001" customHeight="1" x14ac:dyDescent="0.25"/>
  </sheetData>
  <mergeCells count="42">
    <mergeCell ref="C32:Q32"/>
    <mergeCell ref="C2:Q2"/>
    <mergeCell ref="C3:E3"/>
    <mergeCell ref="G3:I3"/>
    <mergeCell ref="K3:M3"/>
    <mergeCell ref="C5:C14"/>
    <mergeCell ref="C15:Q15"/>
    <mergeCell ref="C17:Q17"/>
    <mergeCell ref="C18:E18"/>
    <mergeCell ref="G18:I18"/>
    <mergeCell ref="K18:M18"/>
    <mergeCell ref="C20:C31"/>
    <mergeCell ref="C66:Q66"/>
    <mergeCell ref="C34:Q34"/>
    <mergeCell ref="C35:E35"/>
    <mergeCell ref="G35:I35"/>
    <mergeCell ref="K35:M35"/>
    <mergeCell ref="C37:C48"/>
    <mergeCell ref="C49:Q49"/>
    <mergeCell ref="C51:Q51"/>
    <mergeCell ref="C52:E52"/>
    <mergeCell ref="G52:I52"/>
    <mergeCell ref="K52:M52"/>
    <mergeCell ref="C54:C65"/>
    <mergeCell ref="C98:Q98"/>
    <mergeCell ref="C68:Q68"/>
    <mergeCell ref="C69:E69"/>
    <mergeCell ref="G69:I69"/>
    <mergeCell ref="K69:M69"/>
    <mergeCell ref="C71:C80"/>
    <mergeCell ref="C81:Q81"/>
    <mergeCell ref="C83:Q83"/>
    <mergeCell ref="C84:E84"/>
    <mergeCell ref="G84:I84"/>
    <mergeCell ref="K84:M84"/>
    <mergeCell ref="C86:C97"/>
    <mergeCell ref="C100:Q100"/>
    <mergeCell ref="C101:E101"/>
    <mergeCell ref="G101:I101"/>
    <mergeCell ref="K101:M101"/>
    <mergeCell ref="C103:C114"/>
    <mergeCell ref="C115:Q115"/>
  </mergeCells>
  <pageMargins left="0.511811024" right="0.511811024" top="0.78740157499999996" bottom="0.78740157499999996" header="0.31496062000000002" footer="0.31496062000000002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12C5-7D08-4DF5-B493-F68C5880F489}">
  <dimension ref="A2:Q82"/>
  <sheetViews>
    <sheetView zoomScale="55" zoomScaleNormal="55" workbookViewId="0">
      <selection activeCell="A83" sqref="A83:XFD132"/>
    </sheetView>
  </sheetViews>
  <sheetFormatPr defaultRowHeight="15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43</v>
      </c>
      <c r="D5" s="22" t="e">
        <f t="shared" ref="D5:D14" si="0">LEFT(B5, FIND("-", B5)-1)</f>
        <v>#VALUE!</v>
      </c>
      <c r="E5" s="23" t="e">
        <f t="shared" ref="E5:E14" si="1">MID(B5, FIND("-", B5)+1, FIND("-", B5, FIND("-", B5)+1)-FIND("-", B5)-1)</f>
        <v>#VALUE!</v>
      </c>
      <c r="F5" s="23"/>
      <c r="G5" s="23" t="str">
        <f t="shared" ref="G5:G14" si="2">IF(ISERROR(FIND("-D-", B5)), "", "X")</f>
        <v/>
      </c>
      <c r="H5" s="23" t="str">
        <f t="shared" ref="H5:H14" si="3">IF(ISERROR(FIND("-C-", B5)), "", "X")</f>
        <v/>
      </c>
      <c r="I5" s="23" t="str">
        <f t="shared" ref="I5:I14" si="4">IF(ISERROR(FIND("-E-", B5)), "", "X")</f>
        <v/>
      </c>
      <c r="J5" s="23"/>
      <c r="K5" s="23" t="str">
        <f t="shared" ref="K5:K14" si="5">IF(ISERROR(FIND("P1", A5)), "", "X")</f>
        <v/>
      </c>
      <c r="L5" s="23" t="str">
        <f t="shared" ref="L5:L14" si="6">IF(ISERROR(FIND("P2", A5)), "", "X")</f>
        <v/>
      </c>
      <c r="M5" s="23" t="str">
        <f t="shared" ref="M5:M14" si="7">IF(ISERROR(FIND("P3", A5)), "", "X")</f>
        <v/>
      </c>
      <c r="N5" s="24" t="str">
        <f t="shared" ref="N5:N14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si="0"/>
        <v>#VALUE!</v>
      </c>
      <c r="E7" s="23" t="e">
        <f t="shared" si="1"/>
        <v>#VALUE!</v>
      </c>
      <c r="F7" s="23"/>
      <c r="G7" s="23" t="str">
        <f t="shared" si="2"/>
        <v/>
      </c>
      <c r="H7" s="23" t="str">
        <f t="shared" si="3"/>
        <v/>
      </c>
      <c r="I7" s="23" t="str">
        <f t="shared" si="4"/>
        <v/>
      </c>
      <c r="J7" s="23"/>
      <c r="K7" s="23" t="str">
        <f t="shared" si="5"/>
        <v/>
      </c>
      <c r="L7" s="23" t="str">
        <f t="shared" si="6"/>
        <v/>
      </c>
      <c r="M7" s="23" t="str">
        <f t="shared" si="7"/>
        <v/>
      </c>
      <c r="N7" s="24" t="str">
        <f t="shared" si="8"/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si="0"/>
        <v>#VALUE!</v>
      </c>
      <c r="E8" s="23" t="e">
        <f t="shared" si="1"/>
        <v>#VALUE!</v>
      </c>
      <c r="F8" s="23"/>
      <c r="G8" s="23" t="str">
        <f t="shared" si="2"/>
        <v/>
      </c>
      <c r="H8" s="23" t="str">
        <f t="shared" si="3"/>
        <v/>
      </c>
      <c r="I8" s="23" t="str">
        <f t="shared" si="4"/>
        <v/>
      </c>
      <c r="J8" s="23"/>
      <c r="K8" s="23" t="str">
        <f t="shared" si="5"/>
        <v/>
      </c>
      <c r="L8" s="23" t="str">
        <f t="shared" si="6"/>
        <v/>
      </c>
      <c r="M8" s="23" t="str">
        <f t="shared" si="7"/>
        <v/>
      </c>
      <c r="N8" s="24" t="str">
        <f t="shared" si="8"/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0"/>
        <v>#VALUE!</v>
      </c>
      <c r="E9" s="23" t="e">
        <f t="shared" si="1"/>
        <v>#VALUE!</v>
      </c>
      <c r="F9" s="23"/>
      <c r="G9" s="23" t="str">
        <f t="shared" si="2"/>
        <v/>
      </c>
      <c r="H9" s="23" t="str">
        <f t="shared" si="3"/>
        <v/>
      </c>
      <c r="I9" s="23" t="str">
        <f t="shared" si="4"/>
        <v/>
      </c>
      <c r="J9" s="23"/>
      <c r="K9" s="23" t="str">
        <f t="shared" si="5"/>
        <v/>
      </c>
      <c r="L9" s="23" t="str">
        <f t="shared" si="6"/>
        <v/>
      </c>
      <c r="M9" s="23" t="str">
        <f t="shared" si="7"/>
        <v/>
      </c>
      <c r="N9" s="24" t="str">
        <f t="shared" si="8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0"/>
        <v>#VALUE!</v>
      </c>
      <c r="E10" s="23" t="e">
        <f t="shared" si="1"/>
        <v>#VALUE!</v>
      </c>
      <c r="F10" s="23"/>
      <c r="G10" s="23" t="str">
        <f t="shared" si="2"/>
        <v/>
      </c>
      <c r="H10" s="23" t="str">
        <f t="shared" si="3"/>
        <v/>
      </c>
      <c r="I10" s="23" t="str">
        <f t="shared" si="4"/>
        <v/>
      </c>
      <c r="J10" s="23"/>
      <c r="K10" s="23" t="str">
        <f t="shared" si="5"/>
        <v/>
      </c>
      <c r="L10" s="23" t="str">
        <f t="shared" si="6"/>
        <v/>
      </c>
      <c r="M10" s="23" t="str">
        <f t="shared" si="7"/>
        <v/>
      </c>
      <c r="N10" s="24" t="str">
        <f t="shared" si="8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si="0"/>
        <v>#VALUE!</v>
      </c>
      <c r="E11" s="6" t="e">
        <f t="shared" si="1"/>
        <v>#VALUE!</v>
      </c>
      <c r="F11" s="6"/>
      <c r="G11" s="6" t="str">
        <f t="shared" si="2"/>
        <v/>
      </c>
      <c r="H11" s="6" t="str">
        <f t="shared" si="3"/>
        <v/>
      </c>
      <c r="I11" s="6" t="str">
        <f t="shared" si="4"/>
        <v/>
      </c>
      <c r="J11" s="6"/>
      <c r="K11" s="6" t="str">
        <f t="shared" si="5"/>
        <v/>
      </c>
      <c r="L11" s="6" t="str">
        <f t="shared" si="6"/>
        <v/>
      </c>
      <c r="M11" s="6" t="str">
        <f t="shared" si="7"/>
        <v/>
      </c>
      <c r="N11" s="3" t="str">
        <f t="shared" si="8"/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0"/>
        <v>#VALUE!</v>
      </c>
      <c r="E12" s="6" t="e">
        <f t="shared" si="1"/>
        <v>#VALUE!</v>
      </c>
      <c r="F12" s="6"/>
      <c r="G12" s="6" t="str">
        <f t="shared" si="2"/>
        <v/>
      </c>
      <c r="H12" s="6" t="str">
        <f t="shared" si="3"/>
        <v/>
      </c>
      <c r="I12" s="6" t="str">
        <f t="shared" si="4"/>
        <v/>
      </c>
      <c r="J12" s="6"/>
      <c r="K12" s="6" t="str">
        <f t="shared" si="5"/>
        <v/>
      </c>
      <c r="L12" s="6" t="str">
        <f t="shared" si="6"/>
        <v/>
      </c>
      <c r="M12" s="6" t="str">
        <f t="shared" si="7"/>
        <v/>
      </c>
      <c r="N12" s="3" t="str">
        <f t="shared" si="8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0"/>
        <v>#VALUE!</v>
      </c>
      <c r="E13" s="6" t="e">
        <f t="shared" si="1"/>
        <v>#VALUE!</v>
      </c>
      <c r="F13" s="6"/>
      <c r="G13" s="6" t="str">
        <f t="shared" si="2"/>
        <v/>
      </c>
      <c r="H13" s="6" t="str">
        <f t="shared" si="3"/>
        <v/>
      </c>
      <c r="I13" s="6" t="str">
        <f t="shared" si="4"/>
        <v/>
      </c>
      <c r="J13" s="6"/>
      <c r="K13" s="6" t="str">
        <f t="shared" si="5"/>
        <v/>
      </c>
      <c r="L13" s="6" t="str">
        <f t="shared" si="6"/>
        <v/>
      </c>
      <c r="M13" s="6" t="str">
        <f t="shared" si="7"/>
        <v/>
      </c>
      <c r="N13" s="3" t="str">
        <f t="shared" si="8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0"/>
        <v>#VALUE!</v>
      </c>
      <c r="E14" s="6" t="e">
        <f t="shared" si="1"/>
        <v>#VALUE!</v>
      </c>
      <c r="F14" s="6"/>
      <c r="G14" s="6" t="str">
        <f t="shared" si="2"/>
        <v/>
      </c>
      <c r="H14" s="6" t="str">
        <f t="shared" si="3"/>
        <v/>
      </c>
      <c r="I14" s="6" t="str">
        <f t="shared" si="4"/>
        <v/>
      </c>
      <c r="J14" s="6"/>
      <c r="K14" s="6" t="str">
        <f t="shared" si="5"/>
        <v/>
      </c>
      <c r="L14" s="6" t="str">
        <f t="shared" si="6"/>
        <v/>
      </c>
      <c r="M14" s="6" t="str">
        <f t="shared" si="7"/>
        <v/>
      </c>
      <c r="N14" s="3" t="str">
        <f t="shared" si="8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ht="20.100000000000001" customHeight="1" x14ac:dyDescent="0.25"/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44</v>
      </c>
      <c r="D20" s="17" t="e">
        <f t="shared" ref="D20:D31" si="9">LEFT(B20, FIND("-", B20)-1)</f>
        <v>#VALUE!</v>
      </c>
      <c r="E20" s="18" t="e">
        <f t="shared" ref="E20:E31" si="10">MID(B20, FIND("-", B20)+1, FIND("-", B20, FIND("-", B20)+1)-FIND("-", B20)-1)</f>
        <v>#VALUE!</v>
      </c>
      <c r="F20" s="18"/>
      <c r="G20" s="18" t="str">
        <f t="shared" ref="G20:G31" si="11">IF(ISERROR(FIND("-D-", B20)), "", "X")</f>
        <v/>
      </c>
      <c r="H20" s="18" t="str">
        <f t="shared" ref="H20:H31" si="12">IF(ISERROR(FIND("-C-", B20)), "", "X")</f>
        <v/>
      </c>
      <c r="I20" s="18" t="str">
        <f t="shared" ref="I20:I31" si="13">IF(ISERROR(FIND("-E-", B20)), "", "X")</f>
        <v/>
      </c>
      <c r="J20" s="18"/>
      <c r="K20" s="18" t="str">
        <f t="shared" ref="K20:K31" si="14">IF(ISERROR(FIND("P1", A20)), "", "X")</f>
        <v/>
      </c>
      <c r="L20" s="18" t="str">
        <f t="shared" ref="L20:L31" si="15">IF(ISERROR(FIND("P2", A20)), "", "X")</f>
        <v/>
      </c>
      <c r="M20" s="18" t="str">
        <f t="shared" ref="M20:M31" si="16">IF(ISERROR(FIND("P3", A20)), "", "X")</f>
        <v/>
      </c>
      <c r="N20" s="3" t="str">
        <f t="shared" ref="N20:N31" si="17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9"/>
        <v>#VALUE!</v>
      </c>
      <c r="E21" s="23" t="e">
        <f t="shared" si="10"/>
        <v>#VALUE!</v>
      </c>
      <c r="F21" s="23"/>
      <c r="G21" s="23" t="str">
        <f t="shared" si="11"/>
        <v/>
      </c>
      <c r="H21" s="23" t="str">
        <f t="shared" si="12"/>
        <v/>
      </c>
      <c r="I21" s="23" t="str">
        <f t="shared" si="13"/>
        <v/>
      </c>
      <c r="J21" s="23"/>
      <c r="K21" s="23" t="str">
        <f t="shared" si="14"/>
        <v/>
      </c>
      <c r="L21" s="23" t="str">
        <f t="shared" si="15"/>
        <v/>
      </c>
      <c r="M21" s="23" t="str">
        <f t="shared" si="16"/>
        <v/>
      </c>
      <c r="N21" s="24" t="str">
        <f t="shared" si="17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9"/>
        <v>#VALUE!</v>
      </c>
      <c r="E22" s="23" t="e">
        <f t="shared" si="10"/>
        <v>#VALUE!</v>
      </c>
      <c r="F22" s="23"/>
      <c r="G22" s="23" t="str">
        <f t="shared" si="11"/>
        <v/>
      </c>
      <c r="H22" s="23" t="str">
        <f t="shared" si="12"/>
        <v/>
      </c>
      <c r="I22" s="23" t="str">
        <f t="shared" si="13"/>
        <v/>
      </c>
      <c r="J22" s="23"/>
      <c r="K22" s="23" t="str">
        <f t="shared" si="14"/>
        <v/>
      </c>
      <c r="L22" s="23" t="str">
        <f t="shared" si="15"/>
        <v/>
      </c>
      <c r="M22" s="23" t="str">
        <f t="shared" si="16"/>
        <v/>
      </c>
      <c r="N22" s="24" t="str">
        <f t="shared" si="17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9"/>
        <v>#VALUE!</v>
      </c>
      <c r="E23" s="23" t="e">
        <f t="shared" si="10"/>
        <v>#VALUE!</v>
      </c>
      <c r="F23" s="23"/>
      <c r="G23" s="23" t="str">
        <f t="shared" si="11"/>
        <v/>
      </c>
      <c r="H23" s="23" t="str">
        <f t="shared" si="12"/>
        <v/>
      </c>
      <c r="I23" s="23" t="str">
        <f t="shared" si="13"/>
        <v/>
      </c>
      <c r="J23" s="23"/>
      <c r="K23" s="23" t="str">
        <f t="shared" si="14"/>
        <v/>
      </c>
      <c r="L23" s="23" t="str">
        <f t="shared" si="15"/>
        <v/>
      </c>
      <c r="M23" s="23" t="str">
        <f t="shared" si="16"/>
        <v/>
      </c>
      <c r="N23" s="24" t="str">
        <f t="shared" si="17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9"/>
        <v>#VALUE!</v>
      </c>
      <c r="E24" s="23" t="e">
        <f t="shared" si="10"/>
        <v>#VALUE!</v>
      </c>
      <c r="F24" s="23"/>
      <c r="G24" s="23" t="str">
        <f t="shared" si="11"/>
        <v/>
      </c>
      <c r="H24" s="23" t="str">
        <f t="shared" si="12"/>
        <v/>
      </c>
      <c r="I24" s="23" t="str">
        <f t="shared" si="13"/>
        <v/>
      </c>
      <c r="J24" s="23"/>
      <c r="K24" s="23" t="str">
        <f t="shared" si="14"/>
        <v/>
      </c>
      <c r="L24" s="23" t="str">
        <f t="shared" si="15"/>
        <v/>
      </c>
      <c r="M24" s="23" t="str">
        <f t="shared" si="16"/>
        <v/>
      </c>
      <c r="N24" s="24" t="str">
        <f t="shared" si="17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9"/>
        <v>#VALUE!</v>
      </c>
      <c r="E25" s="23" t="e">
        <f t="shared" si="10"/>
        <v>#VALUE!</v>
      </c>
      <c r="F25" s="23"/>
      <c r="G25" s="23" t="str">
        <f t="shared" si="11"/>
        <v/>
      </c>
      <c r="H25" s="23" t="str">
        <f t="shared" si="12"/>
        <v/>
      </c>
      <c r="I25" s="23" t="str">
        <f t="shared" si="13"/>
        <v/>
      </c>
      <c r="J25" s="23"/>
      <c r="K25" s="23" t="str">
        <f t="shared" si="14"/>
        <v/>
      </c>
      <c r="L25" s="23" t="str">
        <f t="shared" si="15"/>
        <v/>
      </c>
      <c r="M25" s="23" t="str">
        <f t="shared" si="16"/>
        <v/>
      </c>
      <c r="N25" s="24" t="str">
        <f t="shared" si="17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9"/>
        <v>#VALUE!</v>
      </c>
      <c r="E26" s="23" t="e">
        <f t="shared" si="10"/>
        <v>#VALUE!</v>
      </c>
      <c r="F26" s="23"/>
      <c r="G26" s="23" t="str">
        <f t="shared" si="11"/>
        <v/>
      </c>
      <c r="H26" s="23" t="str">
        <f t="shared" si="12"/>
        <v/>
      </c>
      <c r="I26" s="23" t="str">
        <f t="shared" si="13"/>
        <v/>
      </c>
      <c r="J26" s="23"/>
      <c r="K26" s="23" t="str">
        <f t="shared" si="14"/>
        <v/>
      </c>
      <c r="L26" s="23" t="str">
        <f t="shared" si="15"/>
        <v/>
      </c>
      <c r="M26" s="23" t="str">
        <f t="shared" si="16"/>
        <v/>
      </c>
      <c r="N26" s="24" t="str">
        <f t="shared" si="17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9"/>
        <v>#VALUE!</v>
      </c>
      <c r="E27" s="23" t="e">
        <f t="shared" si="10"/>
        <v>#VALUE!</v>
      </c>
      <c r="F27" s="23"/>
      <c r="G27" s="23" t="str">
        <f t="shared" si="11"/>
        <v/>
      </c>
      <c r="H27" s="23" t="str">
        <f t="shared" si="12"/>
        <v/>
      </c>
      <c r="I27" s="23" t="str">
        <f t="shared" si="13"/>
        <v/>
      </c>
      <c r="J27" s="23"/>
      <c r="K27" s="23" t="str">
        <f t="shared" si="14"/>
        <v/>
      </c>
      <c r="L27" s="23" t="str">
        <f t="shared" si="15"/>
        <v/>
      </c>
      <c r="M27" s="23" t="str">
        <f t="shared" si="16"/>
        <v/>
      </c>
      <c r="N27" s="24" t="str">
        <f t="shared" si="17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9"/>
        <v>#VALUE!</v>
      </c>
      <c r="E28" s="6" t="e">
        <f t="shared" si="10"/>
        <v>#VALUE!</v>
      </c>
      <c r="F28" s="6"/>
      <c r="G28" s="6" t="str">
        <f t="shared" si="11"/>
        <v/>
      </c>
      <c r="H28" s="6" t="str">
        <f t="shared" si="12"/>
        <v/>
      </c>
      <c r="I28" s="6" t="str">
        <f t="shared" si="13"/>
        <v/>
      </c>
      <c r="J28" s="6"/>
      <c r="K28" s="6" t="str">
        <f t="shared" si="14"/>
        <v/>
      </c>
      <c r="L28" s="6" t="str">
        <f t="shared" si="15"/>
        <v/>
      </c>
      <c r="M28" s="6" t="str">
        <f t="shared" si="16"/>
        <v/>
      </c>
      <c r="N28" s="3" t="str">
        <f t="shared" si="17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9"/>
        <v>#VALUE!</v>
      </c>
      <c r="E29" s="6" t="e">
        <f t="shared" si="10"/>
        <v>#VALUE!</v>
      </c>
      <c r="F29" s="6"/>
      <c r="G29" s="6" t="str">
        <f t="shared" si="11"/>
        <v/>
      </c>
      <c r="H29" s="6" t="str">
        <f t="shared" si="12"/>
        <v/>
      </c>
      <c r="I29" s="6" t="str">
        <f t="shared" si="13"/>
        <v/>
      </c>
      <c r="J29" s="6"/>
      <c r="K29" s="6" t="str">
        <f t="shared" si="14"/>
        <v/>
      </c>
      <c r="L29" s="6" t="str">
        <f t="shared" si="15"/>
        <v/>
      </c>
      <c r="M29" s="6" t="str">
        <f t="shared" si="16"/>
        <v/>
      </c>
      <c r="N29" s="3" t="str">
        <f t="shared" si="17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9"/>
        <v>#VALUE!</v>
      </c>
      <c r="E30" s="6" t="e">
        <f t="shared" si="10"/>
        <v>#VALUE!</v>
      </c>
      <c r="F30" s="6"/>
      <c r="G30" s="6" t="str">
        <f t="shared" si="11"/>
        <v/>
      </c>
      <c r="H30" s="6" t="str">
        <f t="shared" si="12"/>
        <v/>
      </c>
      <c r="I30" s="6" t="str">
        <f t="shared" si="13"/>
        <v/>
      </c>
      <c r="J30" s="6"/>
      <c r="K30" s="6" t="str">
        <f t="shared" si="14"/>
        <v/>
      </c>
      <c r="L30" s="6" t="str">
        <f t="shared" si="15"/>
        <v/>
      </c>
      <c r="M30" s="6" t="str">
        <f t="shared" si="16"/>
        <v/>
      </c>
      <c r="N30" s="3" t="str">
        <f t="shared" si="17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9"/>
        <v>#VALUE!</v>
      </c>
      <c r="E31" s="6" t="e">
        <f t="shared" si="10"/>
        <v>#VALUE!</v>
      </c>
      <c r="F31" s="6"/>
      <c r="G31" s="6" t="str">
        <f t="shared" si="11"/>
        <v/>
      </c>
      <c r="H31" s="6" t="str">
        <f t="shared" si="12"/>
        <v/>
      </c>
      <c r="I31" s="6" t="str">
        <f t="shared" si="13"/>
        <v/>
      </c>
      <c r="J31" s="6"/>
      <c r="K31" s="6" t="str">
        <f t="shared" si="14"/>
        <v/>
      </c>
      <c r="L31" s="6" t="str">
        <f t="shared" si="15"/>
        <v/>
      </c>
      <c r="M31" s="6" t="str">
        <f t="shared" si="16"/>
        <v/>
      </c>
      <c r="N31" s="3" t="str">
        <f t="shared" si="17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45</v>
      </c>
      <c r="D37" s="17" t="e">
        <f t="shared" ref="D37:D48" si="18">LEFT(B37, FIND("-", B37)-1)</f>
        <v>#VALUE!</v>
      </c>
      <c r="E37" s="18" t="e">
        <f t="shared" ref="E37:E48" si="19">MID(B37, FIND("-", B37)+1, FIND("-", B37, FIND("-", B37)+1)-FIND("-", B37)-1)</f>
        <v>#VALUE!</v>
      </c>
      <c r="F37" s="18"/>
      <c r="G37" s="18" t="str">
        <f t="shared" ref="G37:G48" si="20">IF(ISERROR(FIND("-D-", B37)), "", "X")</f>
        <v/>
      </c>
      <c r="H37" s="18" t="str">
        <f t="shared" ref="H37:H48" si="21">IF(ISERROR(FIND("-C-", B37)), "", "X")</f>
        <v/>
      </c>
      <c r="I37" s="18" t="str">
        <f t="shared" ref="I37:I48" si="22">IF(ISERROR(FIND("-E-", B37)), "", "X")</f>
        <v/>
      </c>
      <c r="J37" s="18"/>
      <c r="K37" s="18" t="str">
        <f t="shared" ref="K37:K48" si="23">IF(ISERROR(FIND("P1", A37)), "", "X")</f>
        <v/>
      </c>
      <c r="L37" s="18" t="str">
        <f t="shared" ref="L37:L48" si="24">IF(ISERROR(FIND("P2", A37)), "", "X")</f>
        <v/>
      </c>
      <c r="M37" s="18" t="str">
        <f t="shared" ref="M37:M48" si="25">IF(ISERROR(FIND("P3", A37)), "", "X")</f>
        <v/>
      </c>
      <c r="N37" s="3" t="str">
        <f t="shared" ref="N37:N48" si="26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18"/>
        <v>#VALUE!</v>
      </c>
      <c r="E38" s="23" t="e">
        <f t="shared" si="19"/>
        <v>#VALUE!</v>
      </c>
      <c r="F38" s="23"/>
      <c r="G38" s="23" t="str">
        <f t="shared" si="20"/>
        <v/>
      </c>
      <c r="H38" s="23" t="str">
        <f t="shared" si="21"/>
        <v/>
      </c>
      <c r="I38" s="23" t="str">
        <f t="shared" si="22"/>
        <v/>
      </c>
      <c r="J38" s="23"/>
      <c r="K38" s="23" t="str">
        <f t="shared" si="23"/>
        <v/>
      </c>
      <c r="L38" s="23" t="str">
        <f t="shared" si="24"/>
        <v/>
      </c>
      <c r="M38" s="23" t="str">
        <f t="shared" si="25"/>
        <v/>
      </c>
      <c r="N38" s="24" t="str">
        <f t="shared" si="26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18"/>
        <v>#VALUE!</v>
      </c>
      <c r="E39" s="23" t="e">
        <f t="shared" si="19"/>
        <v>#VALUE!</v>
      </c>
      <c r="F39" s="23"/>
      <c r="G39" s="23" t="str">
        <f t="shared" si="20"/>
        <v/>
      </c>
      <c r="H39" s="23" t="str">
        <f t="shared" si="21"/>
        <v/>
      </c>
      <c r="I39" s="23" t="str">
        <f t="shared" si="22"/>
        <v/>
      </c>
      <c r="J39" s="23"/>
      <c r="K39" s="23" t="str">
        <f t="shared" si="23"/>
        <v/>
      </c>
      <c r="L39" s="23" t="str">
        <f t="shared" si="24"/>
        <v/>
      </c>
      <c r="M39" s="23" t="str">
        <f t="shared" si="25"/>
        <v/>
      </c>
      <c r="N39" s="24" t="str">
        <f t="shared" si="26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18"/>
        <v>#VALUE!</v>
      </c>
      <c r="E40" s="23" t="e">
        <f t="shared" si="19"/>
        <v>#VALUE!</v>
      </c>
      <c r="F40" s="23"/>
      <c r="G40" s="23" t="str">
        <f t="shared" si="20"/>
        <v/>
      </c>
      <c r="H40" s="23" t="str">
        <f t="shared" si="21"/>
        <v/>
      </c>
      <c r="I40" s="23" t="str">
        <f t="shared" si="22"/>
        <v/>
      </c>
      <c r="J40" s="23"/>
      <c r="K40" s="23" t="str">
        <f t="shared" si="23"/>
        <v/>
      </c>
      <c r="L40" s="23" t="str">
        <f t="shared" si="24"/>
        <v/>
      </c>
      <c r="M40" s="23" t="str">
        <f t="shared" si="25"/>
        <v/>
      </c>
      <c r="N40" s="24" t="str">
        <f t="shared" si="26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18"/>
        <v>#VALUE!</v>
      </c>
      <c r="E41" s="23" t="e">
        <f t="shared" si="19"/>
        <v>#VALUE!</v>
      </c>
      <c r="F41" s="23"/>
      <c r="G41" s="23" t="str">
        <f t="shared" si="20"/>
        <v/>
      </c>
      <c r="H41" s="23" t="str">
        <f t="shared" si="21"/>
        <v/>
      </c>
      <c r="I41" s="23" t="str">
        <f t="shared" si="22"/>
        <v/>
      </c>
      <c r="J41" s="23"/>
      <c r="K41" s="23" t="str">
        <f t="shared" si="23"/>
        <v/>
      </c>
      <c r="L41" s="23" t="str">
        <f t="shared" si="24"/>
        <v/>
      </c>
      <c r="M41" s="23" t="str">
        <f t="shared" si="25"/>
        <v/>
      </c>
      <c r="N41" s="24" t="str">
        <f t="shared" si="26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18"/>
        <v>#VALUE!</v>
      </c>
      <c r="E42" s="23" t="e">
        <f t="shared" si="19"/>
        <v>#VALUE!</v>
      </c>
      <c r="F42" s="23"/>
      <c r="G42" s="23" t="str">
        <f t="shared" si="20"/>
        <v/>
      </c>
      <c r="H42" s="23" t="str">
        <f t="shared" si="21"/>
        <v/>
      </c>
      <c r="I42" s="23" t="str">
        <f t="shared" si="22"/>
        <v/>
      </c>
      <c r="J42" s="23"/>
      <c r="K42" s="23" t="str">
        <f t="shared" si="23"/>
        <v/>
      </c>
      <c r="L42" s="23" t="str">
        <f t="shared" si="24"/>
        <v/>
      </c>
      <c r="M42" s="23" t="str">
        <f t="shared" si="25"/>
        <v/>
      </c>
      <c r="N42" s="24" t="str">
        <f t="shared" si="26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18"/>
        <v>#VALUE!</v>
      </c>
      <c r="E43" s="23" t="e">
        <f t="shared" si="19"/>
        <v>#VALUE!</v>
      </c>
      <c r="F43" s="23"/>
      <c r="G43" s="23" t="str">
        <f t="shared" si="20"/>
        <v/>
      </c>
      <c r="H43" s="23" t="str">
        <f t="shared" si="21"/>
        <v/>
      </c>
      <c r="I43" s="23" t="str">
        <f t="shared" si="22"/>
        <v/>
      </c>
      <c r="J43" s="23"/>
      <c r="K43" s="23" t="str">
        <f t="shared" si="23"/>
        <v/>
      </c>
      <c r="L43" s="23" t="str">
        <f t="shared" si="24"/>
        <v/>
      </c>
      <c r="M43" s="23" t="str">
        <f t="shared" si="25"/>
        <v/>
      </c>
      <c r="N43" s="24" t="str">
        <f t="shared" si="26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18"/>
        <v>#VALUE!</v>
      </c>
      <c r="E44" s="23" t="e">
        <f t="shared" si="19"/>
        <v>#VALUE!</v>
      </c>
      <c r="F44" s="23"/>
      <c r="G44" s="23" t="str">
        <f t="shared" si="20"/>
        <v/>
      </c>
      <c r="H44" s="23" t="str">
        <f t="shared" si="21"/>
        <v/>
      </c>
      <c r="I44" s="23" t="str">
        <f t="shared" si="22"/>
        <v/>
      </c>
      <c r="J44" s="23"/>
      <c r="K44" s="23" t="str">
        <f t="shared" si="23"/>
        <v/>
      </c>
      <c r="L44" s="23" t="str">
        <f t="shared" si="24"/>
        <v/>
      </c>
      <c r="M44" s="23" t="str">
        <f t="shared" si="25"/>
        <v/>
      </c>
      <c r="N44" s="24" t="str">
        <f t="shared" si="26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18"/>
        <v>#VALUE!</v>
      </c>
      <c r="E45" s="6" t="e">
        <f t="shared" si="19"/>
        <v>#VALUE!</v>
      </c>
      <c r="F45" s="6"/>
      <c r="G45" s="6" t="str">
        <f t="shared" si="20"/>
        <v/>
      </c>
      <c r="H45" s="6" t="str">
        <f t="shared" si="21"/>
        <v/>
      </c>
      <c r="I45" s="6" t="str">
        <f t="shared" si="22"/>
        <v/>
      </c>
      <c r="J45" s="6"/>
      <c r="K45" s="6" t="str">
        <f t="shared" si="23"/>
        <v/>
      </c>
      <c r="L45" s="6" t="str">
        <f t="shared" si="24"/>
        <v/>
      </c>
      <c r="M45" s="6" t="str">
        <f t="shared" si="25"/>
        <v/>
      </c>
      <c r="N45" s="3" t="str">
        <f t="shared" si="26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18"/>
        <v>#VALUE!</v>
      </c>
      <c r="E46" s="6" t="e">
        <f t="shared" si="19"/>
        <v>#VALUE!</v>
      </c>
      <c r="F46" s="6"/>
      <c r="G46" s="6" t="str">
        <f t="shared" si="20"/>
        <v/>
      </c>
      <c r="H46" s="6" t="str">
        <f t="shared" si="21"/>
        <v/>
      </c>
      <c r="I46" s="6" t="str">
        <f t="shared" si="22"/>
        <v/>
      </c>
      <c r="J46" s="6"/>
      <c r="K46" s="6" t="str">
        <f t="shared" si="23"/>
        <v/>
      </c>
      <c r="L46" s="6" t="str">
        <f t="shared" si="24"/>
        <v/>
      </c>
      <c r="M46" s="6" t="str">
        <f t="shared" si="25"/>
        <v/>
      </c>
      <c r="N46" s="3" t="str">
        <f t="shared" si="26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18"/>
        <v>#VALUE!</v>
      </c>
      <c r="E47" s="6" t="e">
        <f t="shared" si="19"/>
        <v>#VALUE!</v>
      </c>
      <c r="F47" s="6"/>
      <c r="G47" s="6" t="str">
        <f t="shared" si="20"/>
        <v/>
      </c>
      <c r="H47" s="6" t="str">
        <f t="shared" si="21"/>
        <v/>
      </c>
      <c r="I47" s="6" t="str">
        <f t="shared" si="22"/>
        <v/>
      </c>
      <c r="J47" s="6"/>
      <c r="K47" s="6" t="str">
        <f t="shared" si="23"/>
        <v/>
      </c>
      <c r="L47" s="6" t="str">
        <f t="shared" si="24"/>
        <v/>
      </c>
      <c r="M47" s="6" t="str">
        <f t="shared" si="25"/>
        <v/>
      </c>
      <c r="N47" s="3" t="str">
        <f t="shared" si="26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18"/>
        <v>#VALUE!</v>
      </c>
      <c r="E48" s="6" t="e">
        <f t="shared" si="19"/>
        <v>#VALUE!</v>
      </c>
      <c r="F48" s="6"/>
      <c r="G48" s="6" t="str">
        <f t="shared" si="20"/>
        <v/>
      </c>
      <c r="H48" s="6" t="str">
        <f t="shared" si="21"/>
        <v/>
      </c>
      <c r="I48" s="6" t="str">
        <f t="shared" si="22"/>
        <v/>
      </c>
      <c r="J48" s="6"/>
      <c r="K48" s="6" t="str">
        <f t="shared" si="23"/>
        <v/>
      </c>
      <c r="L48" s="6" t="str">
        <f t="shared" si="24"/>
        <v/>
      </c>
      <c r="M48" s="6" t="str">
        <f t="shared" si="25"/>
        <v/>
      </c>
      <c r="N48" s="3" t="str">
        <f t="shared" si="26"/>
        <v/>
      </c>
      <c r="O48" s="14"/>
      <c r="P48" s="15"/>
      <c r="Q48" s="7"/>
    </row>
    <row r="49" spans="1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  <row r="51" spans="1:17" ht="20.100000000000001" customHeight="1" x14ac:dyDescent="0.4">
      <c r="A51" s="21" t="s">
        <v>15</v>
      </c>
      <c r="B51" s="21" t="s">
        <v>19</v>
      </c>
      <c r="C51" s="34" t="s">
        <v>18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17" ht="20.100000000000001" customHeight="1" x14ac:dyDescent="0.35">
      <c r="A52" s="4"/>
      <c r="B52" s="4"/>
      <c r="C52" s="35"/>
      <c r="D52" s="36"/>
      <c r="E52" s="37"/>
      <c r="F52" s="10"/>
      <c r="G52" s="38" t="s">
        <v>0</v>
      </c>
      <c r="H52" s="39"/>
      <c r="I52" s="40"/>
      <c r="J52" s="10"/>
      <c r="K52" s="41" t="s">
        <v>1</v>
      </c>
      <c r="L52" s="42"/>
      <c r="M52" s="43"/>
      <c r="N52" s="11"/>
      <c r="O52" s="11"/>
      <c r="P52" s="11"/>
      <c r="Q52" s="11"/>
    </row>
    <row r="53" spans="1:17" ht="20.100000000000001" customHeight="1" x14ac:dyDescent="0.3">
      <c r="A53" s="5"/>
      <c r="B53" s="5"/>
      <c r="C53" s="1" t="s">
        <v>6</v>
      </c>
      <c r="D53" s="9" t="s">
        <v>7</v>
      </c>
      <c r="E53" s="1" t="s">
        <v>8</v>
      </c>
      <c r="F53" s="2" t="s">
        <v>16</v>
      </c>
      <c r="G53" s="12" t="s">
        <v>9</v>
      </c>
      <c r="H53" s="12" t="s">
        <v>10</v>
      </c>
      <c r="I53" s="12" t="s">
        <v>11</v>
      </c>
      <c r="J53" s="2" t="s">
        <v>17</v>
      </c>
      <c r="K53" s="13" t="s">
        <v>12</v>
      </c>
      <c r="L53" s="13" t="s">
        <v>13</v>
      </c>
      <c r="M53" s="13" t="s">
        <v>14</v>
      </c>
      <c r="N53" s="11" t="s">
        <v>2</v>
      </c>
      <c r="O53" s="11" t="s">
        <v>3</v>
      </c>
      <c r="P53" s="11" t="s">
        <v>4</v>
      </c>
      <c r="Q53" s="11" t="s">
        <v>5</v>
      </c>
    </row>
    <row r="54" spans="1:17" ht="20.100000000000001" customHeight="1" x14ac:dyDescent="0.35">
      <c r="A54" s="28"/>
      <c r="B54" s="28"/>
      <c r="C54" s="29" t="s">
        <v>46</v>
      </c>
      <c r="D54" s="17" t="e">
        <f t="shared" ref="D54:D65" si="27">LEFT(B54, FIND("-", B54)-1)</f>
        <v>#VALUE!</v>
      </c>
      <c r="E54" s="18" t="e">
        <f t="shared" ref="E54:E65" si="28">MID(B54, FIND("-", B54)+1, FIND("-", B54, FIND("-", B54)+1)-FIND("-", B54)-1)</f>
        <v>#VALUE!</v>
      </c>
      <c r="F54" s="18"/>
      <c r="G54" s="18" t="str">
        <f t="shared" ref="G54:G65" si="29">IF(ISERROR(FIND("-D-", B54)), "", "X")</f>
        <v/>
      </c>
      <c r="H54" s="18" t="str">
        <f t="shared" ref="H54:H65" si="30">IF(ISERROR(FIND("-C-", B54)), "", "X")</f>
        <v/>
      </c>
      <c r="I54" s="18" t="str">
        <f t="shared" ref="I54:I65" si="31">IF(ISERROR(FIND("-E-", B54)), "", "X")</f>
        <v/>
      </c>
      <c r="J54" s="18"/>
      <c r="K54" s="18" t="str">
        <f t="shared" ref="K54:K65" si="32">IF(ISERROR(FIND("P1", A54)), "", "X")</f>
        <v/>
      </c>
      <c r="L54" s="18" t="str">
        <f t="shared" ref="L54:L65" si="33">IF(ISERROR(FIND("P2", A54)), "", "X")</f>
        <v/>
      </c>
      <c r="M54" s="18" t="str">
        <f t="shared" ref="M54:M65" si="34">IF(ISERROR(FIND("P3", A54)), "", "X")</f>
        <v/>
      </c>
      <c r="N54" s="3" t="str">
        <f t="shared" ref="N54:N65" si="35">IF(ISERROR(FIND("RO", B54)),
    IF(ISERROR(FIND("CD", B54)),
        IF(ISERROR(FIND("CG", B54)),
            IF(ISERROR(FIND("AG", B54)),
                IF(ISERROR(FIND("RT", B54)),
                    IF(ISERROR(FIND("RF", B54)),
                        IF(ISERROR(FIND("AM", B54)),
                            IF(ISERROR(FIND("RP", B54)),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4" s="16"/>
      <c r="P54" s="19"/>
      <c r="Q54" s="20"/>
    </row>
    <row r="55" spans="1:17" ht="20.100000000000001" customHeight="1" x14ac:dyDescent="0.35">
      <c r="A55" s="28"/>
      <c r="B55" s="28"/>
      <c r="C55" s="30"/>
      <c r="D55" s="22" t="e">
        <f t="shared" si="27"/>
        <v>#VALUE!</v>
      </c>
      <c r="E55" s="23" t="e">
        <f t="shared" si="28"/>
        <v>#VALUE!</v>
      </c>
      <c r="F55" s="23"/>
      <c r="G55" s="23" t="str">
        <f t="shared" si="29"/>
        <v/>
      </c>
      <c r="H55" s="23" t="str">
        <f t="shared" si="30"/>
        <v/>
      </c>
      <c r="I55" s="23" t="str">
        <f t="shared" si="31"/>
        <v/>
      </c>
      <c r="J55" s="23"/>
      <c r="K55" s="23" t="str">
        <f t="shared" si="32"/>
        <v/>
      </c>
      <c r="L55" s="23" t="str">
        <f t="shared" si="33"/>
        <v/>
      </c>
      <c r="M55" s="23" t="str">
        <f t="shared" si="34"/>
        <v/>
      </c>
      <c r="N55" s="24" t="str">
        <f t="shared" si="35"/>
        <v/>
      </c>
      <c r="O55" s="25"/>
      <c r="P55" s="26"/>
      <c r="Q55" s="27"/>
    </row>
    <row r="56" spans="1:17" ht="20.100000000000001" customHeight="1" x14ac:dyDescent="0.35">
      <c r="A56" s="28"/>
      <c r="B56" s="28"/>
      <c r="C56" s="30"/>
      <c r="D56" s="22" t="e">
        <f t="shared" si="27"/>
        <v>#VALUE!</v>
      </c>
      <c r="E56" s="23" t="e">
        <f t="shared" si="28"/>
        <v>#VALUE!</v>
      </c>
      <c r="F56" s="23"/>
      <c r="G56" s="23" t="str">
        <f t="shared" si="29"/>
        <v/>
      </c>
      <c r="H56" s="23" t="str">
        <f t="shared" si="30"/>
        <v/>
      </c>
      <c r="I56" s="23" t="str">
        <f t="shared" si="31"/>
        <v/>
      </c>
      <c r="J56" s="23"/>
      <c r="K56" s="23" t="str">
        <f t="shared" si="32"/>
        <v/>
      </c>
      <c r="L56" s="23" t="str">
        <f t="shared" si="33"/>
        <v/>
      </c>
      <c r="M56" s="23" t="str">
        <f t="shared" si="34"/>
        <v/>
      </c>
      <c r="N56" s="24" t="str">
        <f t="shared" si="35"/>
        <v/>
      </c>
      <c r="O56" s="25"/>
      <c r="P56" s="26"/>
      <c r="Q56" s="27"/>
    </row>
    <row r="57" spans="1:17" ht="20.100000000000001" customHeight="1" x14ac:dyDescent="0.35">
      <c r="A57" s="28"/>
      <c r="B57" s="28"/>
      <c r="C57" s="30"/>
      <c r="D57" s="22" t="e">
        <f t="shared" si="27"/>
        <v>#VALUE!</v>
      </c>
      <c r="E57" s="23" t="e">
        <f t="shared" si="28"/>
        <v>#VALUE!</v>
      </c>
      <c r="F57" s="23"/>
      <c r="G57" s="23" t="str">
        <f t="shared" si="29"/>
        <v/>
      </c>
      <c r="H57" s="23" t="str">
        <f t="shared" si="30"/>
        <v/>
      </c>
      <c r="I57" s="23" t="str">
        <f t="shared" si="31"/>
        <v/>
      </c>
      <c r="J57" s="23"/>
      <c r="K57" s="23" t="str">
        <f t="shared" si="32"/>
        <v/>
      </c>
      <c r="L57" s="23" t="str">
        <f t="shared" si="33"/>
        <v/>
      </c>
      <c r="M57" s="23" t="str">
        <f t="shared" si="34"/>
        <v/>
      </c>
      <c r="N57" s="24" t="str">
        <f t="shared" si="35"/>
        <v/>
      </c>
      <c r="O57" s="25"/>
      <c r="P57" s="26"/>
      <c r="Q57" s="27"/>
    </row>
    <row r="58" spans="1:17" ht="20.100000000000001" customHeight="1" x14ac:dyDescent="0.35">
      <c r="A58" s="28"/>
      <c r="B58" s="28"/>
      <c r="C58" s="30"/>
      <c r="D58" s="22" t="e">
        <f t="shared" si="27"/>
        <v>#VALUE!</v>
      </c>
      <c r="E58" s="23" t="e">
        <f t="shared" si="28"/>
        <v>#VALUE!</v>
      </c>
      <c r="F58" s="23"/>
      <c r="G58" s="23" t="str">
        <f t="shared" si="29"/>
        <v/>
      </c>
      <c r="H58" s="23" t="str">
        <f t="shared" si="30"/>
        <v/>
      </c>
      <c r="I58" s="23" t="str">
        <f t="shared" si="31"/>
        <v/>
      </c>
      <c r="J58" s="23"/>
      <c r="K58" s="23" t="str">
        <f t="shared" si="32"/>
        <v/>
      </c>
      <c r="L58" s="23" t="str">
        <f t="shared" si="33"/>
        <v/>
      </c>
      <c r="M58" s="23" t="str">
        <f t="shared" si="34"/>
        <v/>
      </c>
      <c r="N58" s="24" t="str">
        <f t="shared" si="35"/>
        <v/>
      </c>
      <c r="O58" s="25"/>
      <c r="P58" s="26"/>
      <c r="Q58" s="27"/>
    </row>
    <row r="59" spans="1:17" ht="20.100000000000001" customHeight="1" x14ac:dyDescent="0.35">
      <c r="A59" s="16"/>
      <c r="B59" s="16"/>
      <c r="C59" s="30"/>
      <c r="D59" s="22" t="e">
        <f t="shared" si="27"/>
        <v>#VALUE!</v>
      </c>
      <c r="E59" s="23" t="e">
        <f t="shared" si="28"/>
        <v>#VALUE!</v>
      </c>
      <c r="F59" s="23"/>
      <c r="G59" s="23" t="str">
        <f t="shared" si="29"/>
        <v/>
      </c>
      <c r="H59" s="23" t="str">
        <f t="shared" si="30"/>
        <v/>
      </c>
      <c r="I59" s="23" t="str">
        <f t="shared" si="31"/>
        <v/>
      </c>
      <c r="J59" s="23"/>
      <c r="K59" s="23" t="str">
        <f t="shared" si="32"/>
        <v/>
      </c>
      <c r="L59" s="23" t="str">
        <f t="shared" si="33"/>
        <v/>
      </c>
      <c r="M59" s="23" t="str">
        <f t="shared" si="34"/>
        <v/>
      </c>
      <c r="N59" s="24" t="str">
        <f t="shared" si="35"/>
        <v/>
      </c>
      <c r="O59" s="25"/>
      <c r="P59" s="26"/>
      <c r="Q59" s="27"/>
    </row>
    <row r="60" spans="1:17" ht="20.100000000000001" customHeight="1" x14ac:dyDescent="0.35">
      <c r="A60" s="16"/>
      <c r="B60" s="16"/>
      <c r="C60" s="30"/>
      <c r="D60" s="22" t="e">
        <f t="shared" si="27"/>
        <v>#VALUE!</v>
      </c>
      <c r="E60" s="23" t="e">
        <f t="shared" si="28"/>
        <v>#VALUE!</v>
      </c>
      <c r="F60" s="23"/>
      <c r="G60" s="23" t="str">
        <f t="shared" si="29"/>
        <v/>
      </c>
      <c r="H60" s="23" t="str">
        <f t="shared" si="30"/>
        <v/>
      </c>
      <c r="I60" s="23" t="str">
        <f t="shared" si="31"/>
        <v/>
      </c>
      <c r="J60" s="23"/>
      <c r="K60" s="23" t="str">
        <f t="shared" si="32"/>
        <v/>
      </c>
      <c r="L60" s="23" t="str">
        <f t="shared" si="33"/>
        <v/>
      </c>
      <c r="M60" s="23" t="str">
        <f t="shared" si="34"/>
        <v/>
      </c>
      <c r="N60" s="24" t="str">
        <f t="shared" si="35"/>
        <v/>
      </c>
      <c r="O60" s="25"/>
      <c r="P60" s="26"/>
      <c r="Q60" s="27"/>
    </row>
    <row r="61" spans="1:17" ht="20.100000000000001" customHeight="1" x14ac:dyDescent="0.35">
      <c r="A61" s="16"/>
      <c r="B61" s="16"/>
      <c r="C61" s="30"/>
      <c r="D61" s="22" t="e">
        <f t="shared" si="27"/>
        <v>#VALUE!</v>
      </c>
      <c r="E61" s="23" t="e">
        <f t="shared" si="28"/>
        <v>#VALUE!</v>
      </c>
      <c r="F61" s="23"/>
      <c r="G61" s="23" t="str">
        <f t="shared" si="29"/>
        <v/>
      </c>
      <c r="H61" s="23" t="str">
        <f t="shared" si="30"/>
        <v/>
      </c>
      <c r="I61" s="23" t="str">
        <f t="shared" si="31"/>
        <v/>
      </c>
      <c r="J61" s="23"/>
      <c r="K61" s="23" t="str">
        <f t="shared" si="32"/>
        <v/>
      </c>
      <c r="L61" s="23" t="str">
        <f t="shared" si="33"/>
        <v/>
      </c>
      <c r="M61" s="23" t="str">
        <f t="shared" si="34"/>
        <v/>
      </c>
      <c r="N61" s="24" t="str">
        <f t="shared" si="35"/>
        <v/>
      </c>
      <c r="O61" s="25"/>
      <c r="P61" s="26"/>
      <c r="Q61" s="27"/>
    </row>
    <row r="62" spans="1:17" ht="20.100000000000001" customHeight="1" x14ac:dyDescent="0.35">
      <c r="A62" s="14"/>
      <c r="B62" s="14"/>
      <c r="C62" s="30"/>
      <c r="D62" s="8" t="e">
        <f t="shared" si="27"/>
        <v>#VALUE!</v>
      </c>
      <c r="E62" s="6" t="e">
        <f t="shared" si="28"/>
        <v>#VALUE!</v>
      </c>
      <c r="F62" s="6"/>
      <c r="G62" s="6" t="str">
        <f t="shared" si="29"/>
        <v/>
      </c>
      <c r="H62" s="6" t="str">
        <f t="shared" si="30"/>
        <v/>
      </c>
      <c r="I62" s="6" t="str">
        <f t="shared" si="31"/>
        <v/>
      </c>
      <c r="J62" s="6"/>
      <c r="K62" s="6" t="str">
        <f t="shared" si="32"/>
        <v/>
      </c>
      <c r="L62" s="6" t="str">
        <f t="shared" si="33"/>
        <v/>
      </c>
      <c r="M62" s="6" t="str">
        <f t="shared" si="34"/>
        <v/>
      </c>
      <c r="N62" s="3" t="str">
        <f t="shared" si="35"/>
        <v/>
      </c>
      <c r="O62" s="14"/>
      <c r="P62" s="15"/>
      <c r="Q62" s="7"/>
    </row>
    <row r="63" spans="1:17" ht="20.100000000000001" customHeight="1" x14ac:dyDescent="0.35">
      <c r="A63" s="14"/>
      <c r="B63" s="14"/>
      <c r="C63" s="30"/>
      <c r="D63" s="8" t="e">
        <f t="shared" si="27"/>
        <v>#VALUE!</v>
      </c>
      <c r="E63" s="6" t="e">
        <f t="shared" si="28"/>
        <v>#VALUE!</v>
      </c>
      <c r="F63" s="6"/>
      <c r="G63" s="6" t="str">
        <f t="shared" si="29"/>
        <v/>
      </c>
      <c r="H63" s="6" t="str">
        <f t="shared" si="30"/>
        <v/>
      </c>
      <c r="I63" s="6" t="str">
        <f t="shared" si="31"/>
        <v/>
      </c>
      <c r="J63" s="6"/>
      <c r="K63" s="6" t="str">
        <f t="shared" si="32"/>
        <v/>
      </c>
      <c r="L63" s="6" t="str">
        <f t="shared" si="33"/>
        <v/>
      </c>
      <c r="M63" s="6" t="str">
        <f t="shared" si="34"/>
        <v/>
      </c>
      <c r="N63" s="3" t="str">
        <f t="shared" si="35"/>
        <v/>
      </c>
      <c r="O63" s="14"/>
      <c r="P63" s="15"/>
      <c r="Q63" s="7"/>
    </row>
    <row r="64" spans="1:17" ht="20.100000000000001" customHeight="1" x14ac:dyDescent="0.35">
      <c r="A64" s="14"/>
      <c r="B64" s="14"/>
      <c r="C64" s="30"/>
      <c r="D64" s="8" t="e">
        <f t="shared" si="27"/>
        <v>#VALUE!</v>
      </c>
      <c r="E64" s="6" t="e">
        <f t="shared" si="28"/>
        <v>#VALUE!</v>
      </c>
      <c r="F64" s="6"/>
      <c r="G64" s="6" t="str">
        <f t="shared" si="29"/>
        <v/>
      </c>
      <c r="H64" s="6" t="str">
        <f t="shared" si="30"/>
        <v/>
      </c>
      <c r="I64" s="6" t="str">
        <f t="shared" si="31"/>
        <v/>
      </c>
      <c r="J64" s="6"/>
      <c r="K64" s="6" t="str">
        <f t="shared" si="32"/>
        <v/>
      </c>
      <c r="L64" s="6" t="str">
        <f t="shared" si="33"/>
        <v/>
      </c>
      <c r="M64" s="6" t="str">
        <f t="shared" si="34"/>
        <v/>
      </c>
      <c r="N64" s="3" t="str">
        <f t="shared" si="35"/>
        <v/>
      </c>
      <c r="O64" s="14"/>
      <c r="P64" s="15"/>
      <c r="Q64" s="7"/>
    </row>
    <row r="65" spans="1:17" ht="20.100000000000001" customHeight="1" x14ac:dyDescent="0.35">
      <c r="A65" s="14"/>
      <c r="B65" s="14"/>
      <c r="C65" s="30"/>
      <c r="D65" s="8" t="e">
        <f t="shared" si="27"/>
        <v>#VALUE!</v>
      </c>
      <c r="E65" s="6" t="e">
        <f t="shared" si="28"/>
        <v>#VALUE!</v>
      </c>
      <c r="F65" s="6"/>
      <c r="G65" s="6" t="str">
        <f t="shared" si="29"/>
        <v/>
      </c>
      <c r="H65" s="6" t="str">
        <f t="shared" si="30"/>
        <v/>
      </c>
      <c r="I65" s="6" t="str">
        <f t="shared" si="31"/>
        <v/>
      </c>
      <c r="J65" s="6"/>
      <c r="K65" s="6" t="str">
        <f t="shared" si="32"/>
        <v/>
      </c>
      <c r="L65" s="6" t="str">
        <f t="shared" si="33"/>
        <v/>
      </c>
      <c r="M65" s="6" t="str">
        <f t="shared" si="34"/>
        <v/>
      </c>
      <c r="N65" s="3" t="str">
        <f t="shared" si="35"/>
        <v/>
      </c>
      <c r="O65" s="14"/>
      <c r="P65" s="15"/>
      <c r="Q65" s="7"/>
    </row>
    <row r="66" spans="1:17" ht="20.100000000000001" customHeight="1" x14ac:dyDescent="0.25">
      <c r="C66" s="31" t="str">
        <f>COUNTIF(E54:E65, "RC") + COUNTIF(E54:E65, "RI") +  COUNTIF(E54:E65, "AC") + COUNTIF(E54:E65, "RR") + COUNTIF(E54:E65, "RU") + COUNTIF(E54:E65, "GR") + COUNTIF(E54:E65, "RP") + COUNTIF(E54:E65, "GC") + COUNTIF(E54:E65, "RB") &amp; " ROLOS (" &amp;
IF(COUNTIF(E54:E65, "RC") &gt; 0, COUNTIF(E54:E65, "RC") &amp; " RC; ", "") &amp;
IF(COUNTIF(E54:E65, "RI") &gt; 0, COUNTIF(E54:E65, "RI") &amp; " RI; ", "") &amp;
IF(COUNTIF(E54:E65, "RR") &gt; 0, COUNTIF(E54:E65, "RR") &amp; " RR; ", "") &amp;
IF(COUNTIF(E54:E65, "RU") &gt; 0, COUNTIF(E54:E65, "RU") &amp; " RU; ", "") &amp;
IF(COUNTIF(E54:E65, "GR") &gt; 0, COUNTIF(E54:E65, "GR") &amp; " GR; ", "") &amp;
IF(COUNTIF(E54:E65, "RP") &gt; 0, COUNTIF(E54:E65, "RP") &amp; " RP; ", "") &amp;
IF(COUNTIF(E54:E65, "GC") &gt; 0, COUNTIF(E54:E65, "GC") &amp; " GC; ", "") &amp;
IF(COUNTIF(E54:E65, "RB") &gt; 0, COUNTIF(E54:E65, "RB") &amp; " RB", "") &amp;
IF(COUNTIF(E54:E65, "AC") &gt; 0, COUNTIF(E54:E65, "AC") &amp; "AC", "")
&amp;")"</f>
        <v>0 ROLOS ()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3"/>
    </row>
    <row r="67" spans="1:17" ht="20.100000000000001" customHeight="1" x14ac:dyDescent="0.25"/>
    <row r="68" spans="1:17" ht="20.100000000000001" customHeight="1" x14ac:dyDescent="0.4">
      <c r="A68" s="21" t="s">
        <v>15</v>
      </c>
      <c r="B68" s="21" t="s">
        <v>19</v>
      </c>
      <c r="C68" s="34" t="s">
        <v>18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 spans="1:17" ht="20.100000000000001" customHeight="1" x14ac:dyDescent="0.35">
      <c r="A69" s="4"/>
      <c r="B69" s="4"/>
      <c r="C69" s="35"/>
      <c r="D69" s="36"/>
      <c r="E69" s="37"/>
      <c r="F69" s="10"/>
      <c r="G69" s="38" t="s">
        <v>0</v>
      </c>
      <c r="H69" s="39"/>
      <c r="I69" s="40"/>
      <c r="J69" s="10"/>
      <c r="K69" s="41" t="s">
        <v>1</v>
      </c>
      <c r="L69" s="42"/>
      <c r="M69" s="43"/>
      <c r="N69" s="11"/>
      <c r="O69" s="11"/>
      <c r="P69" s="11"/>
      <c r="Q69" s="11"/>
    </row>
    <row r="70" spans="1:17" ht="20.100000000000001" customHeight="1" x14ac:dyDescent="0.3">
      <c r="A70" s="5"/>
      <c r="B70" s="5"/>
      <c r="C70" s="1" t="s">
        <v>6</v>
      </c>
      <c r="D70" s="9" t="s">
        <v>7</v>
      </c>
      <c r="E70" s="1" t="s">
        <v>8</v>
      </c>
      <c r="F70" s="2" t="s">
        <v>16</v>
      </c>
      <c r="G70" s="12" t="s">
        <v>9</v>
      </c>
      <c r="H70" s="12" t="s">
        <v>10</v>
      </c>
      <c r="I70" s="12" t="s">
        <v>11</v>
      </c>
      <c r="J70" s="2" t="s">
        <v>17</v>
      </c>
      <c r="K70" s="13" t="s">
        <v>12</v>
      </c>
      <c r="L70" s="13" t="s">
        <v>13</v>
      </c>
      <c r="M70" s="13" t="s">
        <v>14</v>
      </c>
      <c r="N70" s="11" t="s">
        <v>2</v>
      </c>
      <c r="O70" s="11" t="s">
        <v>3</v>
      </c>
      <c r="P70" s="11" t="s">
        <v>4</v>
      </c>
      <c r="Q70" s="11" t="s">
        <v>5</v>
      </c>
    </row>
    <row r="71" spans="1:17" ht="20.100000000000001" customHeight="1" x14ac:dyDescent="0.35">
      <c r="A71" s="28"/>
      <c r="B71" s="28"/>
      <c r="C71" s="30" t="s">
        <v>47</v>
      </c>
      <c r="D71" s="22" t="e">
        <f t="shared" ref="D71:D80" si="36">LEFT(B71, FIND("-", B71)-1)</f>
        <v>#VALUE!</v>
      </c>
      <c r="E71" s="23" t="e">
        <f t="shared" ref="E71:E80" si="37">MID(B71, FIND("-", B71)+1, FIND("-", B71, FIND("-", B71)+1)-FIND("-", B71)-1)</f>
        <v>#VALUE!</v>
      </c>
      <c r="F71" s="23"/>
      <c r="G71" s="23" t="str">
        <f t="shared" ref="G71:G80" si="38">IF(ISERROR(FIND("-D-", B71)), "", "X")</f>
        <v/>
      </c>
      <c r="H71" s="23" t="str">
        <f t="shared" ref="H71:H80" si="39">IF(ISERROR(FIND("-C-", B71)), "", "X")</f>
        <v/>
      </c>
      <c r="I71" s="23" t="str">
        <f t="shared" ref="I71:I80" si="40">IF(ISERROR(FIND("-E-", B71)), "", "X")</f>
        <v/>
      </c>
      <c r="J71" s="23"/>
      <c r="K71" s="23" t="str">
        <f t="shared" ref="K71:K80" si="41">IF(ISERROR(FIND("P1", A71)), "", "X")</f>
        <v/>
      </c>
      <c r="L71" s="23" t="str">
        <f t="shared" ref="L71:L80" si="42">IF(ISERROR(FIND("P2", A71)), "", "X")</f>
        <v/>
      </c>
      <c r="M71" s="23" t="str">
        <f t="shared" ref="M71:M80" si="43">IF(ISERROR(FIND("P3", A71)), "", "X")</f>
        <v/>
      </c>
      <c r="N71" s="24" t="str">
        <f t="shared" ref="N71:N80" si="44">IF(ISERROR(FIND("RO", B71)),
    IF(ISERROR(FIND("CD", B71)),
        IF(ISERROR(FIND("CG", B71)),
            IF(ISERROR(FIND("AG", B71)),
                IF(ISERROR(FIND("RT", B71)),
                    IF(ISERROR(FIND("RF", B71)),
                        IF(ISERROR(FIND("AM", B71)),
                            IF(ISERROR(FIND("RP", B71)),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71" s="25"/>
      <c r="P71" s="26"/>
      <c r="Q71" s="27"/>
    </row>
    <row r="72" spans="1:17" ht="20.100000000000001" customHeight="1" x14ac:dyDescent="0.35">
      <c r="A72" s="28"/>
      <c r="B72" s="28"/>
      <c r="C72" s="30"/>
      <c r="D72" s="22" t="e">
        <f t="shared" si="36"/>
        <v>#VALUE!</v>
      </c>
      <c r="E72" s="23" t="e">
        <f t="shared" si="37"/>
        <v>#VALUE!</v>
      </c>
      <c r="F72" s="23"/>
      <c r="G72" s="23" t="str">
        <f t="shared" si="38"/>
        <v/>
      </c>
      <c r="H72" s="23" t="str">
        <f t="shared" si="39"/>
        <v/>
      </c>
      <c r="I72" s="23" t="str">
        <f t="shared" si="40"/>
        <v/>
      </c>
      <c r="J72" s="23"/>
      <c r="K72" s="23" t="str">
        <f t="shared" si="41"/>
        <v/>
      </c>
      <c r="L72" s="23" t="str">
        <f t="shared" si="42"/>
        <v/>
      </c>
      <c r="M72" s="23" t="str">
        <f t="shared" si="43"/>
        <v/>
      </c>
      <c r="N72" s="24" t="str">
        <f t="shared" si="44"/>
        <v/>
      </c>
      <c r="O72" s="25"/>
      <c r="P72" s="26"/>
      <c r="Q72" s="27"/>
    </row>
    <row r="73" spans="1:17" ht="20.100000000000001" customHeight="1" x14ac:dyDescent="0.35">
      <c r="A73" s="28"/>
      <c r="B73" s="28"/>
      <c r="C73" s="30"/>
      <c r="D73" s="22" t="e">
        <f t="shared" si="36"/>
        <v>#VALUE!</v>
      </c>
      <c r="E73" s="23" t="e">
        <f t="shared" si="37"/>
        <v>#VALUE!</v>
      </c>
      <c r="F73" s="23"/>
      <c r="G73" s="23" t="str">
        <f t="shared" si="38"/>
        <v/>
      </c>
      <c r="H73" s="23" t="str">
        <f t="shared" si="39"/>
        <v/>
      </c>
      <c r="I73" s="23" t="str">
        <f t="shared" si="40"/>
        <v/>
      </c>
      <c r="J73" s="23"/>
      <c r="K73" s="23" t="str">
        <f t="shared" si="41"/>
        <v/>
      </c>
      <c r="L73" s="23" t="str">
        <f t="shared" si="42"/>
        <v/>
      </c>
      <c r="M73" s="23" t="str">
        <f t="shared" si="43"/>
        <v/>
      </c>
      <c r="N73" s="24" t="str">
        <f t="shared" si="44"/>
        <v/>
      </c>
      <c r="O73" s="25"/>
      <c r="P73" s="26"/>
      <c r="Q73" s="27"/>
    </row>
    <row r="74" spans="1:17" ht="20.100000000000001" customHeight="1" x14ac:dyDescent="0.35">
      <c r="A74" s="16"/>
      <c r="B74" s="16"/>
      <c r="C74" s="30"/>
      <c r="D74" s="22" t="e">
        <f t="shared" si="36"/>
        <v>#VALUE!</v>
      </c>
      <c r="E74" s="23" t="e">
        <f t="shared" si="37"/>
        <v>#VALUE!</v>
      </c>
      <c r="F74" s="23"/>
      <c r="G74" s="23" t="str">
        <f t="shared" si="38"/>
        <v/>
      </c>
      <c r="H74" s="23" t="str">
        <f t="shared" si="39"/>
        <v/>
      </c>
      <c r="I74" s="23" t="str">
        <f t="shared" si="40"/>
        <v/>
      </c>
      <c r="J74" s="23"/>
      <c r="K74" s="23" t="str">
        <f t="shared" si="41"/>
        <v/>
      </c>
      <c r="L74" s="23" t="str">
        <f t="shared" si="42"/>
        <v/>
      </c>
      <c r="M74" s="23" t="str">
        <f t="shared" si="43"/>
        <v/>
      </c>
      <c r="N74" s="24" t="str">
        <f t="shared" si="44"/>
        <v/>
      </c>
      <c r="O74" s="25"/>
      <c r="P74" s="26"/>
      <c r="Q74" s="27"/>
    </row>
    <row r="75" spans="1:17" ht="20.100000000000001" customHeight="1" x14ac:dyDescent="0.35">
      <c r="A75" s="16"/>
      <c r="B75" s="16"/>
      <c r="C75" s="30"/>
      <c r="D75" s="22" t="e">
        <f t="shared" si="36"/>
        <v>#VALUE!</v>
      </c>
      <c r="E75" s="23" t="e">
        <f t="shared" si="37"/>
        <v>#VALUE!</v>
      </c>
      <c r="F75" s="23"/>
      <c r="G75" s="23" t="str">
        <f t="shared" si="38"/>
        <v/>
      </c>
      <c r="H75" s="23" t="str">
        <f t="shared" si="39"/>
        <v/>
      </c>
      <c r="I75" s="23" t="str">
        <f t="shared" si="40"/>
        <v/>
      </c>
      <c r="J75" s="23"/>
      <c r="K75" s="23" t="str">
        <f t="shared" si="41"/>
        <v/>
      </c>
      <c r="L75" s="23" t="str">
        <f t="shared" si="42"/>
        <v/>
      </c>
      <c r="M75" s="23" t="str">
        <f t="shared" si="43"/>
        <v/>
      </c>
      <c r="N75" s="24" t="str">
        <f t="shared" si="44"/>
        <v/>
      </c>
      <c r="O75" s="25"/>
      <c r="P75" s="26"/>
      <c r="Q75" s="27"/>
    </row>
    <row r="76" spans="1:17" ht="20.100000000000001" customHeight="1" x14ac:dyDescent="0.35">
      <c r="A76" s="16"/>
      <c r="B76" s="16"/>
      <c r="C76" s="30"/>
      <c r="D76" s="22" t="e">
        <f t="shared" si="36"/>
        <v>#VALUE!</v>
      </c>
      <c r="E76" s="23" t="e">
        <f t="shared" si="37"/>
        <v>#VALUE!</v>
      </c>
      <c r="F76" s="23"/>
      <c r="G76" s="23" t="str">
        <f t="shared" si="38"/>
        <v/>
      </c>
      <c r="H76" s="23" t="str">
        <f t="shared" si="39"/>
        <v/>
      </c>
      <c r="I76" s="23" t="str">
        <f t="shared" si="40"/>
        <v/>
      </c>
      <c r="J76" s="23"/>
      <c r="K76" s="23" t="str">
        <f t="shared" si="41"/>
        <v/>
      </c>
      <c r="L76" s="23" t="str">
        <f t="shared" si="42"/>
        <v/>
      </c>
      <c r="M76" s="23" t="str">
        <f t="shared" si="43"/>
        <v/>
      </c>
      <c r="N76" s="24" t="str">
        <f t="shared" si="44"/>
        <v/>
      </c>
      <c r="O76" s="25"/>
      <c r="P76" s="26"/>
      <c r="Q76" s="27"/>
    </row>
    <row r="77" spans="1:17" ht="20.100000000000001" customHeight="1" x14ac:dyDescent="0.35">
      <c r="A77" s="14"/>
      <c r="B77" s="14"/>
      <c r="C77" s="30"/>
      <c r="D77" s="8" t="e">
        <f t="shared" si="36"/>
        <v>#VALUE!</v>
      </c>
      <c r="E77" s="6" t="e">
        <f t="shared" si="37"/>
        <v>#VALUE!</v>
      </c>
      <c r="F77" s="6"/>
      <c r="G77" s="6" t="str">
        <f t="shared" si="38"/>
        <v/>
      </c>
      <c r="H77" s="6" t="str">
        <f t="shared" si="39"/>
        <v/>
      </c>
      <c r="I77" s="6" t="str">
        <f t="shared" si="40"/>
        <v/>
      </c>
      <c r="J77" s="6"/>
      <c r="K77" s="6" t="str">
        <f t="shared" si="41"/>
        <v/>
      </c>
      <c r="L77" s="6" t="str">
        <f t="shared" si="42"/>
        <v/>
      </c>
      <c r="M77" s="6" t="str">
        <f t="shared" si="43"/>
        <v/>
      </c>
      <c r="N77" s="3" t="str">
        <f t="shared" si="44"/>
        <v/>
      </c>
      <c r="O77" s="14"/>
      <c r="P77" s="15"/>
      <c r="Q77" s="7"/>
    </row>
    <row r="78" spans="1:17" ht="20.100000000000001" customHeight="1" x14ac:dyDescent="0.35">
      <c r="A78" s="14"/>
      <c r="B78" s="14"/>
      <c r="C78" s="30"/>
      <c r="D78" s="8" t="e">
        <f t="shared" si="36"/>
        <v>#VALUE!</v>
      </c>
      <c r="E78" s="6" t="e">
        <f t="shared" si="37"/>
        <v>#VALUE!</v>
      </c>
      <c r="F78" s="6"/>
      <c r="G78" s="6" t="str">
        <f t="shared" si="38"/>
        <v/>
      </c>
      <c r="H78" s="6" t="str">
        <f t="shared" si="39"/>
        <v/>
      </c>
      <c r="I78" s="6" t="str">
        <f t="shared" si="40"/>
        <v/>
      </c>
      <c r="J78" s="6"/>
      <c r="K78" s="6" t="str">
        <f t="shared" si="41"/>
        <v/>
      </c>
      <c r="L78" s="6" t="str">
        <f t="shared" si="42"/>
        <v/>
      </c>
      <c r="M78" s="6" t="str">
        <f t="shared" si="43"/>
        <v/>
      </c>
      <c r="N78" s="3" t="str">
        <f t="shared" si="44"/>
        <v/>
      </c>
      <c r="O78" s="14"/>
      <c r="P78" s="15"/>
      <c r="Q78" s="7"/>
    </row>
    <row r="79" spans="1:17" ht="20.100000000000001" customHeight="1" x14ac:dyDescent="0.35">
      <c r="A79" s="14"/>
      <c r="B79" s="14"/>
      <c r="C79" s="30"/>
      <c r="D79" s="8" t="e">
        <f t="shared" si="36"/>
        <v>#VALUE!</v>
      </c>
      <c r="E79" s="6" t="e">
        <f t="shared" si="37"/>
        <v>#VALUE!</v>
      </c>
      <c r="F79" s="6"/>
      <c r="G79" s="6" t="str">
        <f t="shared" si="38"/>
        <v/>
      </c>
      <c r="H79" s="6" t="str">
        <f t="shared" si="39"/>
        <v/>
      </c>
      <c r="I79" s="6" t="str">
        <f t="shared" si="40"/>
        <v/>
      </c>
      <c r="J79" s="6"/>
      <c r="K79" s="6" t="str">
        <f t="shared" si="41"/>
        <v/>
      </c>
      <c r="L79" s="6" t="str">
        <f t="shared" si="42"/>
        <v/>
      </c>
      <c r="M79" s="6" t="str">
        <f t="shared" si="43"/>
        <v/>
      </c>
      <c r="N79" s="3" t="str">
        <f t="shared" si="44"/>
        <v/>
      </c>
      <c r="O79" s="14"/>
      <c r="P79" s="15"/>
      <c r="Q79" s="7"/>
    </row>
    <row r="80" spans="1:17" ht="20.100000000000001" customHeight="1" x14ac:dyDescent="0.35">
      <c r="A80" s="14"/>
      <c r="B80" s="14"/>
      <c r="C80" s="30"/>
      <c r="D80" s="8" t="e">
        <f t="shared" si="36"/>
        <v>#VALUE!</v>
      </c>
      <c r="E80" s="6" t="e">
        <f t="shared" si="37"/>
        <v>#VALUE!</v>
      </c>
      <c r="F80" s="6"/>
      <c r="G80" s="6" t="str">
        <f t="shared" si="38"/>
        <v/>
      </c>
      <c r="H80" s="6" t="str">
        <f t="shared" si="39"/>
        <v/>
      </c>
      <c r="I80" s="6" t="str">
        <f t="shared" si="40"/>
        <v/>
      </c>
      <c r="J80" s="6"/>
      <c r="K80" s="6" t="str">
        <f t="shared" si="41"/>
        <v/>
      </c>
      <c r="L80" s="6" t="str">
        <f t="shared" si="42"/>
        <v/>
      </c>
      <c r="M80" s="6" t="str">
        <f t="shared" si="43"/>
        <v/>
      </c>
      <c r="N80" s="3" t="str">
        <f t="shared" si="44"/>
        <v/>
      </c>
      <c r="O80" s="14"/>
      <c r="P80" s="15"/>
      <c r="Q80" s="7"/>
    </row>
    <row r="81" spans="3:17" ht="20.100000000000001" customHeight="1" x14ac:dyDescent="0.25">
      <c r="C81" s="31" t="str">
        <f>COUNTIF(E71:E80, "RC") + COUNTIF(E71:E80, "RI") +  COUNTIF(E71:E80, "AC") + COUNTIF(E71:E80, "RR") + COUNTIF(E71:E80, "RU") + COUNTIF(E71:E80, "GR") + COUNTIF(E71:E80, "RP") + COUNTIF(E71:E80, "GC") + COUNTIF(E71:E80, "RB") &amp; " ROLOS (" &amp;
IF(COUNTIF(E71:E80, "RC") &gt; 0, COUNTIF(E71:E80, "RC") &amp; " RC; ", "") &amp;
IF(COUNTIF(E71:E80, "RI") &gt; 0, COUNTIF(E71:E80, "RI") &amp; " RI; ", "") &amp;
IF(COUNTIF(E71:E80, "RR") &gt; 0, COUNTIF(E71:E80, "RR") &amp; " RR; ", "") &amp;
IF(COUNTIF(E71:E80, "RU") &gt; 0, COUNTIF(E71:E80, "RU") &amp; " RU; ", "") &amp;
IF(COUNTIF(E71:E80, "GR") &gt; 0, COUNTIF(E71:E80, "GR") &amp; " GR; ", "") &amp;
IF(COUNTIF(E71:E80, "RP") &gt; 0, COUNTIF(E71:E80, "RP") &amp; " RP; ", "") &amp;
IF(COUNTIF(E71:E80, "GC") &gt; 0, COUNTIF(E71:E80, "GC") &amp; " GC; ", "") &amp;
IF(COUNTIF(E71:E80, "RB") &gt; 0, COUNTIF(E71:E80, "RB") &amp; " RB", "") &amp;
IF(COUNTIF(E71:E80, "AC") &gt; 0, COUNTIF(E71:E80, "AC") &amp; "AC", "")
&amp;")"</f>
        <v>0 ROLOS ()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3"/>
    </row>
    <row r="82" spans="3:17" ht="20.100000000000001" customHeight="1" x14ac:dyDescent="0.25"/>
  </sheetData>
  <mergeCells count="30">
    <mergeCell ref="C32:Q32"/>
    <mergeCell ref="C2:Q2"/>
    <mergeCell ref="C3:E3"/>
    <mergeCell ref="G3:I3"/>
    <mergeCell ref="K3:M3"/>
    <mergeCell ref="C5:C14"/>
    <mergeCell ref="C15:Q15"/>
    <mergeCell ref="C17:Q17"/>
    <mergeCell ref="C18:E18"/>
    <mergeCell ref="G18:I18"/>
    <mergeCell ref="K18:M18"/>
    <mergeCell ref="C20:C31"/>
    <mergeCell ref="C66:Q66"/>
    <mergeCell ref="C34:Q34"/>
    <mergeCell ref="C35:E35"/>
    <mergeCell ref="G35:I35"/>
    <mergeCell ref="K35:M35"/>
    <mergeCell ref="C37:C48"/>
    <mergeCell ref="C49:Q49"/>
    <mergeCell ref="C51:Q51"/>
    <mergeCell ref="C52:E52"/>
    <mergeCell ref="G52:I52"/>
    <mergeCell ref="K52:M52"/>
    <mergeCell ref="C54:C65"/>
    <mergeCell ref="C68:Q68"/>
    <mergeCell ref="C69:E69"/>
    <mergeCell ref="G69:I69"/>
    <mergeCell ref="K69:M69"/>
    <mergeCell ref="C71:C80"/>
    <mergeCell ref="C81:Q81"/>
  </mergeCells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F6E3-7184-45AD-B1A7-4B24C734D968}">
  <dimension ref="A2:Q49"/>
  <sheetViews>
    <sheetView tabSelected="1" topLeftCell="A35" zoomScale="55" zoomScaleNormal="55" workbookViewId="0">
      <selection activeCell="A51" sqref="A51:XFD1048576"/>
    </sheetView>
  </sheetViews>
  <sheetFormatPr defaultRowHeight="15" x14ac:dyDescent="0.25"/>
  <cols>
    <col min="1" max="1" width="33" customWidth="1"/>
    <col min="2" max="2" width="27.28515625" customWidth="1"/>
    <col min="3" max="3" width="19.42578125" bestFit="1" customWidth="1"/>
    <col min="4" max="4" width="25.28515625" customWidth="1"/>
    <col min="5" max="5" width="18.7109375" customWidth="1"/>
    <col min="6" max="6" width="4.28515625" customWidth="1"/>
    <col min="7" max="9" width="6.7109375" customWidth="1"/>
    <col min="10" max="10" width="4.140625" customWidth="1"/>
    <col min="11" max="13" width="8.5703125" customWidth="1"/>
    <col min="14" max="14" width="54.42578125" customWidth="1"/>
    <col min="15" max="15" width="15.42578125" customWidth="1"/>
    <col min="16" max="16" width="23.5703125" customWidth="1"/>
    <col min="17" max="17" width="35.5703125" bestFit="1" customWidth="1"/>
  </cols>
  <sheetData>
    <row r="2" spans="1:17" ht="20.100000000000001" customHeight="1" x14ac:dyDescent="0.4">
      <c r="A2" s="21" t="s">
        <v>15</v>
      </c>
      <c r="B2" s="21" t="s">
        <v>19</v>
      </c>
      <c r="C2" s="34" t="s">
        <v>18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0.100000000000001" customHeight="1" x14ac:dyDescent="0.35">
      <c r="A3" s="4"/>
      <c r="B3" s="4"/>
      <c r="C3" s="35"/>
      <c r="D3" s="36"/>
      <c r="E3" s="37"/>
      <c r="F3" s="10"/>
      <c r="G3" s="38" t="s">
        <v>0</v>
      </c>
      <c r="H3" s="39"/>
      <c r="I3" s="40"/>
      <c r="J3" s="10"/>
      <c r="K3" s="41" t="s">
        <v>1</v>
      </c>
      <c r="L3" s="42"/>
      <c r="M3" s="43"/>
      <c r="N3" s="11"/>
      <c r="O3" s="11"/>
      <c r="P3" s="11"/>
      <c r="Q3" s="11"/>
    </row>
    <row r="4" spans="1:17" ht="20.100000000000001" customHeight="1" x14ac:dyDescent="0.3">
      <c r="A4" s="5"/>
      <c r="B4" s="5"/>
      <c r="C4" s="1" t="s">
        <v>6</v>
      </c>
      <c r="D4" s="9" t="s">
        <v>7</v>
      </c>
      <c r="E4" s="1" t="s">
        <v>8</v>
      </c>
      <c r="F4" s="2" t="s">
        <v>16</v>
      </c>
      <c r="G4" s="12" t="s">
        <v>9</v>
      </c>
      <c r="H4" s="12" t="s">
        <v>10</v>
      </c>
      <c r="I4" s="12" t="s">
        <v>11</v>
      </c>
      <c r="J4" s="2" t="s">
        <v>17</v>
      </c>
      <c r="K4" s="13" t="s">
        <v>12</v>
      </c>
      <c r="L4" s="13" t="s">
        <v>13</v>
      </c>
      <c r="M4" s="13" t="s">
        <v>14</v>
      </c>
      <c r="N4" s="11" t="s">
        <v>2</v>
      </c>
      <c r="O4" s="11" t="s">
        <v>3</v>
      </c>
      <c r="P4" s="11" t="s">
        <v>4</v>
      </c>
      <c r="Q4" s="11" t="s">
        <v>5</v>
      </c>
    </row>
    <row r="5" spans="1:17" ht="20.100000000000001" customHeight="1" x14ac:dyDescent="0.35">
      <c r="A5" s="28"/>
      <c r="B5" s="28"/>
      <c r="C5" s="30" t="s">
        <v>48</v>
      </c>
      <c r="D5" s="22" t="e">
        <f t="shared" ref="D5:D14" si="0">LEFT(B5, FIND("-", B5)-1)</f>
        <v>#VALUE!</v>
      </c>
      <c r="E5" s="23" t="e">
        <f t="shared" ref="E5:E14" si="1">MID(B5, FIND("-", B5)+1, FIND("-", B5, FIND("-", B5)+1)-FIND("-", B5)-1)</f>
        <v>#VALUE!</v>
      </c>
      <c r="F5" s="23"/>
      <c r="G5" s="23" t="str">
        <f t="shared" ref="G5:G14" si="2">IF(ISERROR(FIND("-D-", B5)), "", "X")</f>
        <v/>
      </c>
      <c r="H5" s="23" t="str">
        <f t="shared" ref="H5:H14" si="3">IF(ISERROR(FIND("-C-", B5)), "", "X")</f>
        <v/>
      </c>
      <c r="I5" s="23" t="str">
        <f t="shared" ref="I5:I14" si="4">IF(ISERROR(FIND("-E-", B5)), "", "X")</f>
        <v/>
      </c>
      <c r="J5" s="23"/>
      <c r="K5" s="23" t="str">
        <f t="shared" ref="K5:K14" si="5">IF(ISERROR(FIND("P1", A5)), "", "X")</f>
        <v/>
      </c>
      <c r="L5" s="23" t="str">
        <f t="shared" ref="L5:L14" si="6">IF(ISERROR(FIND("P2", A5)), "", "X")</f>
        <v/>
      </c>
      <c r="M5" s="23" t="str">
        <f t="shared" ref="M5:M14" si="7">IF(ISERROR(FIND("P3", A5)), "", "X")</f>
        <v/>
      </c>
      <c r="N5" s="24" t="str">
        <f t="shared" ref="N5:N14" si="8">IF(ISERROR(FIND("RO", B5)),
    IF(ISERROR(FIND("CD", B5)),
        IF(ISERROR(FIND("CG", B5)),
            IF(ISERROR(FIND("AG", B5)),
                IF(ISERROR(FIND("RT", B5)),
                    IF(ISERROR(FIND("RF", B5)),
                        IF(ISERROR(FIND("AM", B5)),
                            IF(ISERROR(FIND("RP", B5)),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5" s="25"/>
      <c r="P5" s="26"/>
      <c r="Q5" s="27"/>
    </row>
    <row r="6" spans="1:17" ht="20.100000000000001" customHeight="1" x14ac:dyDescent="0.35">
      <c r="A6" s="28"/>
      <c r="B6" s="28"/>
      <c r="C6" s="30"/>
      <c r="D6" s="22" t="e">
        <f t="shared" si="0"/>
        <v>#VALUE!</v>
      </c>
      <c r="E6" s="23" t="e">
        <f t="shared" si="1"/>
        <v>#VALUE!</v>
      </c>
      <c r="F6" s="23"/>
      <c r="G6" s="23" t="str">
        <f t="shared" si="2"/>
        <v/>
      </c>
      <c r="H6" s="23" t="str">
        <f t="shared" si="3"/>
        <v/>
      </c>
      <c r="I6" s="23" t="str">
        <f t="shared" si="4"/>
        <v/>
      </c>
      <c r="J6" s="23"/>
      <c r="K6" s="23" t="str">
        <f t="shared" si="5"/>
        <v/>
      </c>
      <c r="L6" s="23" t="str">
        <f t="shared" si="6"/>
        <v/>
      </c>
      <c r="M6" s="23" t="str">
        <f t="shared" si="7"/>
        <v/>
      </c>
      <c r="N6" s="24" t="str">
        <f t="shared" si="8"/>
        <v/>
      </c>
      <c r="O6" s="25"/>
      <c r="P6" s="26"/>
      <c r="Q6" s="27"/>
    </row>
    <row r="7" spans="1:17" ht="20.100000000000001" customHeight="1" x14ac:dyDescent="0.35">
      <c r="A7" s="28"/>
      <c r="B7" s="28"/>
      <c r="C7" s="30"/>
      <c r="D7" s="22" t="e">
        <f t="shared" si="0"/>
        <v>#VALUE!</v>
      </c>
      <c r="E7" s="23" t="e">
        <f t="shared" si="1"/>
        <v>#VALUE!</v>
      </c>
      <c r="F7" s="23"/>
      <c r="G7" s="23" t="str">
        <f t="shared" si="2"/>
        <v/>
      </c>
      <c r="H7" s="23" t="str">
        <f t="shared" si="3"/>
        <v/>
      </c>
      <c r="I7" s="23" t="str">
        <f t="shared" si="4"/>
        <v/>
      </c>
      <c r="J7" s="23"/>
      <c r="K7" s="23" t="str">
        <f t="shared" si="5"/>
        <v/>
      </c>
      <c r="L7" s="23" t="str">
        <f t="shared" si="6"/>
        <v/>
      </c>
      <c r="M7" s="23" t="str">
        <f t="shared" si="7"/>
        <v/>
      </c>
      <c r="N7" s="24" t="str">
        <f t="shared" si="8"/>
        <v/>
      </c>
      <c r="O7" s="25"/>
      <c r="P7" s="26"/>
      <c r="Q7" s="27"/>
    </row>
    <row r="8" spans="1:17" ht="20.100000000000001" customHeight="1" x14ac:dyDescent="0.35">
      <c r="A8" s="16"/>
      <c r="B8" s="16"/>
      <c r="C8" s="30"/>
      <c r="D8" s="22" t="e">
        <f t="shared" si="0"/>
        <v>#VALUE!</v>
      </c>
      <c r="E8" s="23" t="e">
        <f t="shared" si="1"/>
        <v>#VALUE!</v>
      </c>
      <c r="F8" s="23"/>
      <c r="G8" s="23" t="str">
        <f t="shared" si="2"/>
        <v/>
      </c>
      <c r="H8" s="23" t="str">
        <f t="shared" si="3"/>
        <v/>
      </c>
      <c r="I8" s="23" t="str">
        <f t="shared" si="4"/>
        <v/>
      </c>
      <c r="J8" s="23"/>
      <c r="K8" s="23" t="str">
        <f t="shared" si="5"/>
        <v/>
      </c>
      <c r="L8" s="23" t="str">
        <f t="shared" si="6"/>
        <v/>
      </c>
      <c r="M8" s="23" t="str">
        <f t="shared" si="7"/>
        <v/>
      </c>
      <c r="N8" s="24" t="str">
        <f t="shared" si="8"/>
        <v/>
      </c>
      <c r="O8" s="25"/>
      <c r="P8" s="26"/>
      <c r="Q8" s="27"/>
    </row>
    <row r="9" spans="1:17" ht="20.100000000000001" customHeight="1" x14ac:dyDescent="0.35">
      <c r="A9" s="16"/>
      <c r="B9" s="16"/>
      <c r="C9" s="30"/>
      <c r="D9" s="22" t="e">
        <f t="shared" si="0"/>
        <v>#VALUE!</v>
      </c>
      <c r="E9" s="23" t="e">
        <f t="shared" si="1"/>
        <v>#VALUE!</v>
      </c>
      <c r="F9" s="23"/>
      <c r="G9" s="23" t="str">
        <f t="shared" si="2"/>
        <v/>
      </c>
      <c r="H9" s="23" t="str">
        <f t="shared" si="3"/>
        <v/>
      </c>
      <c r="I9" s="23" t="str">
        <f t="shared" si="4"/>
        <v/>
      </c>
      <c r="J9" s="23"/>
      <c r="K9" s="23" t="str">
        <f t="shared" si="5"/>
        <v/>
      </c>
      <c r="L9" s="23" t="str">
        <f t="shared" si="6"/>
        <v/>
      </c>
      <c r="M9" s="23" t="str">
        <f t="shared" si="7"/>
        <v/>
      </c>
      <c r="N9" s="24" t="str">
        <f t="shared" si="8"/>
        <v/>
      </c>
      <c r="O9" s="25"/>
      <c r="P9" s="26"/>
      <c r="Q9" s="27"/>
    </row>
    <row r="10" spans="1:17" ht="20.100000000000001" customHeight="1" x14ac:dyDescent="0.35">
      <c r="A10" s="16"/>
      <c r="B10" s="16"/>
      <c r="C10" s="30"/>
      <c r="D10" s="22" t="e">
        <f t="shared" si="0"/>
        <v>#VALUE!</v>
      </c>
      <c r="E10" s="23" t="e">
        <f t="shared" si="1"/>
        <v>#VALUE!</v>
      </c>
      <c r="F10" s="23"/>
      <c r="G10" s="23" t="str">
        <f t="shared" si="2"/>
        <v/>
      </c>
      <c r="H10" s="23" t="str">
        <f t="shared" si="3"/>
        <v/>
      </c>
      <c r="I10" s="23" t="str">
        <f t="shared" si="4"/>
        <v/>
      </c>
      <c r="J10" s="23"/>
      <c r="K10" s="23" t="str">
        <f t="shared" si="5"/>
        <v/>
      </c>
      <c r="L10" s="23" t="str">
        <f t="shared" si="6"/>
        <v/>
      </c>
      <c r="M10" s="23" t="str">
        <f t="shared" si="7"/>
        <v/>
      </c>
      <c r="N10" s="24" t="str">
        <f t="shared" si="8"/>
        <v/>
      </c>
      <c r="O10" s="25"/>
      <c r="P10" s="26"/>
      <c r="Q10" s="27"/>
    </row>
    <row r="11" spans="1:17" ht="20.100000000000001" customHeight="1" x14ac:dyDescent="0.35">
      <c r="A11" s="14"/>
      <c r="B11" s="14"/>
      <c r="C11" s="30"/>
      <c r="D11" s="8" t="e">
        <f t="shared" si="0"/>
        <v>#VALUE!</v>
      </c>
      <c r="E11" s="6" t="e">
        <f t="shared" si="1"/>
        <v>#VALUE!</v>
      </c>
      <c r="F11" s="6"/>
      <c r="G11" s="6" t="str">
        <f t="shared" si="2"/>
        <v/>
      </c>
      <c r="H11" s="6" t="str">
        <f t="shared" si="3"/>
        <v/>
      </c>
      <c r="I11" s="6" t="str">
        <f t="shared" si="4"/>
        <v/>
      </c>
      <c r="J11" s="6"/>
      <c r="K11" s="6" t="str">
        <f t="shared" si="5"/>
        <v/>
      </c>
      <c r="L11" s="6" t="str">
        <f t="shared" si="6"/>
        <v/>
      </c>
      <c r="M11" s="6" t="str">
        <f t="shared" si="7"/>
        <v/>
      </c>
      <c r="N11" s="3" t="str">
        <f t="shared" si="8"/>
        <v/>
      </c>
      <c r="O11" s="14"/>
      <c r="P11" s="15"/>
      <c r="Q11" s="7"/>
    </row>
    <row r="12" spans="1:17" ht="20.100000000000001" customHeight="1" x14ac:dyDescent="0.35">
      <c r="A12" s="14"/>
      <c r="B12" s="14"/>
      <c r="C12" s="30"/>
      <c r="D12" s="8" t="e">
        <f t="shared" si="0"/>
        <v>#VALUE!</v>
      </c>
      <c r="E12" s="6" t="e">
        <f t="shared" si="1"/>
        <v>#VALUE!</v>
      </c>
      <c r="F12" s="6"/>
      <c r="G12" s="6" t="str">
        <f t="shared" si="2"/>
        <v/>
      </c>
      <c r="H12" s="6" t="str">
        <f t="shared" si="3"/>
        <v/>
      </c>
      <c r="I12" s="6" t="str">
        <f t="shared" si="4"/>
        <v/>
      </c>
      <c r="J12" s="6"/>
      <c r="K12" s="6" t="str">
        <f t="shared" si="5"/>
        <v/>
      </c>
      <c r="L12" s="6" t="str">
        <f t="shared" si="6"/>
        <v/>
      </c>
      <c r="M12" s="6" t="str">
        <f t="shared" si="7"/>
        <v/>
      </c>
      <c r="N12" s="3" t="str">
        <f t="shared" si="8"/>
        <v/>
      </c>
      <c r="O12" s="14"/>
      <c r="P12" s="15"/>
      <c r="Q12" s="7"/>
    </row>
    <row r="13" spans="1:17" ht="20.100000000000001" customHeight="1" x14ac:dyDescent="0.35">
      <c r="A13" s="14"/>
      <c r="B13" s="14"/>
      <c r="C13" s="30"/>
      <c r="D13" s="8" t="e">
        <f t="shared" si="0"/>
        <v>#VALUE!</v>
      </c>
      <c r="E13" s="6" t="e">
        <f t="shared" si="1"/>
        <v>#VALUE!</v>
      </c>
      <c r="F13" s="6"/>
      <c r="G13" s="6" t="str">
        <f t="shared" si="2"/>
        <v/>
      </c>
      <c r="H13" s="6" t="str">
        <f t="shared" si="3"/>
        <v/>
      </c>
      <c r="I13" s="6" t="str">
        <f t="shared" si="4"/>
        <v/>
      </c>
      <c r="J13" s="6"/>
      <c r="K13" s="6" t="str">
        <f t="shared" si="5"/>
        <v/>
      </c>
      <c r="L13" s="6" t="str">
        <f t="shared" si="6"/>
        <v/>
      </c>
      <c r="M13" s="6" t="str">
        <f t="shared" si="7"/>
        <v/>
      </c>
      <c r="N13" s="3" t="str">
        <f t="shared" si="8"/>
        <v/>
      </c>
      <c r="O13" s="14"/>
      <c r="P13" s="15"/>
      <c r="Q13" s="7"/>
    </row>
    <row r="14" spans="1:17" ht="20.100000000000001" customHeight="1" x14ac:dyDescent="0.35">
      <c r="A14" s="14"/>
      <c r="B14" s="14"/>
      <c r="C14" s="30"/>
      <c r="D14" s="8" t="e">
        <f t="shared" si="0"/>
        <v>#VALUE!</v>
      </c>
      <c r="E14" s="6" t="e">
        <f t="shared" si="1"/>
        <v>#VALUE!</v>
      </c>
      <c r="F14" s="6"/>
      <c r="G14" s="6" t="str">
        <f t="shared" si="2"/>
        <v/>
      </c>
      <c r="H14" s="6" t="str">
        <f t="shared" si="3"/>
        <v/>
      </c>
      <c r="I14" s="6" t="str">
        <f t="shared" si="4"/>
        <v/>
      </c>
      <c r="J14" s="6"/>
      <c r="K14" s="6" t="str">
        <f t="shared" si="5"/>
        <v/>
      </c>
      <c r="L14" s="6" t="str">
        <f t="shared" si="6"/>
        <v/>
      </c>
      <c r="M14" s="6" t="str">
        <f t="shared" si="7"/>
        <v/>
      </c>
      <c r="N14" s="3" t="str">
        <f t="shared" si="8"/>
        <v/>
      </c>
      <c r="O14" s="14"/>
      <c r="P14" s="15"/>
      <c r="Q14" s="7"/>
    </row>
    <row r="15" spans="1:17" ht="20.100000000000001" customHeight="1" x14ac:dyDescent="0.25">
      <c r="C15" s="31" t="str">
        <f>COUNTIF(E5:E14, "RC") + COUNTIF(E5:E14, "RI") +  COUNTIF(E5:E14, "AC") + COUNTIF(E5:E14, "RR") + COUNTIF(E5:E14, "RU") + COUNTIF(E5:E14, "GR") + COUNTIF(E5:E14, "RP") + COUNTIF(E5:E14, "GC") + COUNTIF(E5:E14, "RB") &amp; " ROLOS (" &amp;
IF(COUNTIF(E5:E14, "RC") &gt; 0, COUNTIF(E5:E14, "RC") &amp; " RC; ", "") &amp;
IF(COUNTIF(E5:E14, "RI") &gt; 0, COUNTIF(E5:E14, "RI") &amp; " RI; ", "") &amp;
IF(COUNTIF(E5:E14, "RR") &gt; 0, COUNTIF(E5:E14, "RR") &amp; " RR; ", "") &amp;
IF(COUNTIF(E5:E14, "RU") &gt; 0, COUNTIF(E5:E14, "RU") &amp; " RU; ", "") &amp;
IF(COUNTIF(E5:E14, "GR") &gt; 0, COUNTIF(E5:E14, "GR") &amp; " GR; ", "") &amp;
IF(COUNTIF(E5:E14, "RP") &gt; 0, COUNTIF(E5:E14, "RP") &amp; " RP; ", "") &amp;
IF(COUNTIF(E5:E14, "GC") &gt; 0, COUNTIF(E5:E14, "GC") &amp; " GC; ", "") &amp;
IF(COUNTIF(E5:E14, "RB") &gt; 0, COUNTIF(E5:E14, "RB") &amp; " RB", "") &amp;
IF(COUNTIF(E5:E14, "AC") &gt; 0, COUNTIF(E5:E14, "AC") &amp; "AC", "")
&amp;")"</f>
        <v>0 ROLOS ()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3"/>
    </row>
    <row r="16" spans="1:17" ht="20.100000000000001" customHeight="1" x14ac:dyDescent="0.25"/>
    <row r="17" spans="1:17" ht="20.100000000000001" customHeight="1" x14ac:dyDescent="0.4">
      <c r="A17" s="21" t="s">
        <v>15</v>
      </c>
      <c r="B17" s="21" t="s">
        <v>19</v>
      </c>
      <c r="C17" s="34" t="s">
        <v>18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20.100000000000001" customHeight="1" x14ac:dyDescent="0.35">
      <c r="A18" s="4"/>
      <c r="B18" s="4"/>
      <c r="C18" s="35"/>
      <c r="D18" s="36"/>
      <c r="E18" s="37"/>
      <c r="F18" s="10"/>
      <c r="G18" s="38" t="s">
        <v>0</v>
      </c>
      <c r="H18" s="39"/>
      <c r="I18" s="40"/>
      <c r="J18" s="10"/>
      <c r="K18" s="41" t="s">
        <v>1</v>
      </c>
      <c r="L18" s="42"/>
      <c r="M18" s="43"/>
      <c r="N18" s="11"/>
      <c r="O18" s="11"/>
      <c r="P18" s="11"/>
      <c r="Q18" s="11"/>
    </row>
    <row r="19" spans="1:17" ht="20.100000000000001" customHeight="1" x14ac:dyDescent="0.3">
      <c r="A19" s="5"/>
      <c r="B19" s="5"/>
      <c r="C19" s="1" t="s">
        <v>6</v>
      </c>
      <c r="D19" s="9" t="s">
        <v>7</v>
      </c>
      <c r="E19" s="1" t="s">
        <v>8</v>
      </c>
      <c r="F19" s="2" t="s">
        <v>16</v>
      </c>
      <c r="G19" s="12" t="s">
        <v>9</v>
      </c>
      <c r="H19" s="12" t="s">
        <v>10</v>
      </c>
      <c r="I19" s="12" t="s">
        <v>11</v>
      </c>
      <c r="J19" s="2" t="s">
        <v>17</v>
      </c>
      <c r="K19" s="13" t="s">
        <v>12</v>
      </c>
      <c r="L19" s="13" t="s">
        <v>13</v>
      </c>
      <c r="M19" s="13" t="s">
        <v>14</v>
      </c>
      <c r="N19" s="11" t="s">
        <v>2</v>
      </c>
      <c r="O19" s="11" t="s">
        <v>3</v>
      </c>
      <c r="P19" s="11" t="s">
        <v>4</v>
      </c>
      <c r="Q19" s="11" t="s">
        <v>5</v>
      </c>
    </row>
    <row r="20" spans="1:17" ht="20.100000000000001" customHeight="1" x14ac:dyDescent="0.35">
      <c r="A20" s="28"/>
      <c r="B20" s="28"/>
      <c r="C20" s="29" t="s">
        <v>49</v>
      </c>
      <c r="D20" s="17" t="e">
        <f t="shared" ref="D20:D31" si="9">LEFT(B20, FIND("-", B20)-1)</f>
        <v>#VALUE!</v>
      </c>
      <c r="E20" s="18" t="e">
        <f t="shared" ref="E20:E31" si="10">MID(B20, FIND("-", B20)+1, FIND("-", B20, FIND("-", B20)+1)-FIND("-", B20)-1)</f>
        <v>#VALUE!</v>
      </c>
      <c r="F20" s="18"/>
      <c r="G20" s="18" t="str">
        <f t="shared" ref="G20:G31" si="11">IF(ISERROR(FIND("-D-", B20)), "", "X")</f>
        <v/>
      </c>
      <c r="H20" s="18" t="str">
        <f t="shared" ref="H20:H31" si="12">IF(ISERROR(FIND("-C-", B20)), "", "X")</f>
        <v/>
      </c>
      <c r="I20" s="18" t="str">
        <f t="shared" ref="I20:I31" si="13">IF(ISERROR(FIND("-E-", B20)), "", "X")</f>
        <v/>
      </c>
      <c r="J20" s="18"/>
      <c r="K20" s="18" t="str">
        <f t="shared" ref="K20:K31" si="14">IF(ISERROR(FIND("P1", A20)), "", "X")</f>
        <v/>
      </c>
      <c r="L20" s="18" t="str">
        <f t="shared" ref="L20:L31" si="15">IF(ISERROR(FIND("P2", A20)), "", "X")</f>
        <v/>
      </c>
      <c r="M20" s="18" t="str">
        <f t="shared" ref="M20:M31" si="16">IF(ISERROR(FIND("P3", A20)), "", "X")</f>
        <v/>
      </c>
      <c r="N20" s="3" t="str">
        <f t="shared" ref="N20:N31" si="17">IF(ISERROR(FIND("RO", B20)),
    IF(ISERROR(FIND("CD", B20)),
        IF(ISERROR(FIND("CG", B20)),
            IF(ISERROR(FIND("AG", B20)),
                IF(ISERROR(FIND("RT", B20)),
                    IF(ISERROR(FIND("RF", B20)),
                        IF(ISERROR(FIND("AM", B20)),
                            IF(ISERROR(FIND("RP", B20)),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20" s="16"/>
      <c r="P20" s="19"/>
      <c r="Q20" s="20"/>
    </row>
    <row r="21" spans="1:17" ht="20.100000000000001" customHeight="1" x14ac:dyDescent="0.35">
      <c r="A21" s="28"/>
      <c r="B21" s="28"/>
      <c r="C21" s="30"/>
      <c r="D21" s="22" t="e">
        <f t="shared" si="9"/>
        <v>#VALUE!</v>
      </c>
      <c r="E21" s="23" t="e">
        <f t="shared" si="10"/>
        <v>#VALUE!</v>
      </c>
      <c r="F21" s="23"/>
      <c r="G21" s="23" t="str">
        <f t="shared" si="11"/>
        <v/>
      </c>
      <c r="H21" s="23" t="str">
        <f t="shared" si="12"/>
        <v/>
      </c>
      <c r="I21" s="23" t="str">
        <f t="shared" si="13"/>
        <v/>
      </c>
      <c r="J21" s="23"/>
      <c r="K21" s="23" t="str">
        <f t="shared" si="14"/>
        <v/>
      </c>
      <c r="L21" s="23" t="str">
        <f t="shared" si="15"/>
        <v/>
      </c>
      <c r="M21" s="23" t="str">
        <f t="shared" si="16"/>
        <v/>
      </c>
      <c r="N21" s="24" t="str">
        <f t="shared" si="17"/>
        <v/>
      </c>
      <c r="O21" s="25"/>
      <c r="P21" s="26"/>
      <c r="Q21" s="27"/>
    </row>
    <row r="22" spans="1:17" ht="20.100000000000001" customHeight="1" x14ac:dyDescent="0.35">
      <c r="A22" s="28"/>
      <c r="B22" s="28"/>
      <c r="C22" s="30"/>
      <c r="D22" s="22" t="e">
        <f t="shared" si="9"/>
        <v>#VALUE!</v>
      </c>
      <c r="E22" s="23" t="e">
        <f t="shared" si="10"/>
        <v>#VALUE!</v>
      </c>
      <c r="F22" s="23"/>
      <c r="G22" s="23" t="str">
        <f t="shared" si="11"/>
        <v/>
      </c>
      <c r="H22" s="23" t="str">
        <f t="shared" si="12"/>
        <v/>
      </c>
      <c r="I22" s="23" t="str">
        <f t="shared" si="13"/>
        <v/>
      </c>
      <c r="J22" s="23"/>
      <c r="K22" s="23" t="str">
        <f t="shared" si="14"/>
        <v/>
      </c>
      <c r="L22" s="23" t="str">
        <f t="shared" si="15"/>
        <v/>
      </c>
      <c r="M22" s="23" t="str">
        <f t="shared" si="16"/>
        <v/>
      </c>
      <c r="N22" s="24" t="str">
        <f t="shared" si="17"/>
        <v/>
      </c>
      <c r="O22" s="25"/>
      <c r="P22" s="26"/>
      <c r="Q22" s="27"/>
    </row>
    <row r="23" spans="1:17" ht="20.100000000000001" customHeight="1" x14ac:dyDescent="0.35">
      <c r="A23" s="28"/>
      <c r="B23" s="28"/>
      <c r="C23" s="30"/>
      <c r="D23" s="22" t="e">
        <f t="shared" si="9"/>
        <v>#VALUE!</v>
      </c>
      <c r="E23" s="23" t="e">
        <f t="shared" si="10"/>
        <v>#VALUE!</v>
      </c>
      <c r="F23" s="23"/>
      <c r="G23" s="23" t="str">
        <f t="shared" si="11"/>
        <v/>
      </c>
      <c r="H23" s="23" t="str">
        <f t="shared" si="12"/>
        <v/>
      </c>
      <c r="I23" s="23" t="str">
        <f t="shared" si="13"/>
        <v/>
      </c>
      <c r="J23" s="23"/>
      <c r="K23" s="23" t="str">
        <f t="shared" si="14"/>
        <v/>
      </c>
      <c r="L23" s="23" t="str">
        <f t="shared" si="15"/>
        <v/>
      </c>
      <c r="M23" s="23" t="str">
        <f t="shared" si="16"/>
        <v/>
      </c>
      <c r="N23" s="24" t="str">
        <f t="shared" si="17"/>
        <v/>
      </c>
      <c r="O23" s="25"/>
      <c r="P23" s="26"/>
      <c r="Q23" s="27"/>
    </row>
    <row r="24" spans="1:17" ht="20.100000000000001" customHeight="1" x14ac:dyDescent="0.35">
      <c r="A24" s="28"/>
      <c r="B24" s="28"/>
      <c r="C24" s="30"/>
      <c r="D24" s="22" t="e">
        <f t="shared" si="9"/>
        <v>#VALUE!</v>
      </c>
      <c r="E24" s="23" t="e">
        <f t="shared" si="10"/>
        <v>#VALUE!</v>
      </c>
      <c r="F24" s="23"/>
      <c r="G24" s="23" t="str">
        <f t="shared" si="11"/>
        <v/>
      </c>
      <c r="H24" s="23" t="str">
        <f t="shared" si="12"/>
        <v/>
      </c>
      <c r="I24" s="23" t="str">
        <f t="shared" si="13"/>
        <v/>
      </c>
      <c r="J24" s="23"/>
      <c r="K24" s="23" t="str">
        <f t="shared" si="14"/>
        <v/>
      </c>
      <c r="L24" s="23" t="str">
        <f t="shared" si="15"/>
        <v/>
      </c>
      <c r="M24" s="23" t="str">
        <f t="shared" si="16"/>
        <v/>
      </c>
      <c r="N24" s="24" t="str">
        <f t="shared" si="17"/>
        <v/>
      </c>
      <c r="O24" s="25"/>
      <c r="P24" s="26"/>
      <c r="Q24" s="27"/>
    </row>
    <row r="25" spans="1:17" ht="20.100000000000001" customHeight="1" x14ac:dyDescent="0.35">
      <c r="A25" s="16"/>
      <c r="B25" s="16"/>
      <c r="C25" s="30"/>
      <c r="D25" s="22" t="e">
        <f t="shared" si="9"/>
        <v>#VALUE!</v>
      </c>
      <c r="E25" s="23" t="e">
        <f t="shared" si="10"/>
        <v>#VALUE!</v>
      </c>
      <c r="F25" s="23"/>
      <c r="G25" s="23" t="str">
        <f t="shared" si="11"/>
        <v/>
      </c>
      <c r="H25" s="23" t="str">
        <f t="shared" si="12"/>
        <v/>
      </c>
      <c r="I25" s="23" t="str">
        <f t="shared" si="13"/>
        <v/>
      </c>
      <c r="J25" s="23"/>
      <c r="K25" s="23" t="str">
        <f t="shared" si="14"/>
        <v/>
      </c>
      <c r="L25" s="23" t="str">
        <f t="shared" si="15"/>
        <v/>
      </c>
      <c r="M25" s="23" t="str">
        <f t="shared" si="16"/>
        <v/>
      </c>
      <c r="N25" s="24" t="str">
        <f t="shared" si="17"/>
        <v/>
      </c>
      <c r="O25" s="25"/>
      <c r="P25" s="26"/>
      <c r="Q25" s="27"/>
    </row>
    <row r="26" spans="1:17" ht="20.100000000000001" customHeight="1" x14ac:dyDescent="0.35">
      <c r="A26" s="16"/>
      <c r="B26" s="16"/>
      <c r="C26" s="30"/>
      <c r="D26" s="22" t="e">
        <f t="shared" si="9"/>
        <v>#VALUE!</v>
      </c>
      <c r="E26" s="23" t="e">
        <f t="shared" si="10"/>
        <v>#VALUE!</v>
      </c>
      <c r="F26" s="23"/>
      <c r="G26" s="23" t="str">
        <f t="shared" si="11"/>
        <v/>
      </c>
      <c r="H26" s="23" t="str">
        <f t="shared" si="12"/>
        <v/>
      </c>
      <c r="I26" s="23" t="str">
        <f t="shared" si="13"/>
        <v/>
      </c>
      <c r="J26" s="23"/>
      <c r="K26" s="23" t="str">
        <f t="shared" si="14"/>
        <v/>
      </c>
      <c r="L26" s="23" t="str">
        <f t="shared" si="15"/>
        <v/>
      </c>
      <c r="M26" s="23" t="str">
        <f t="shared" si="16"/>
        <v/>
      </c>
      <c r="N26" s="24" t="str">
        <f t="shared" si="17"/>
        <v/>
      </c>
      <c r="O26" s="25"/>
      <c r="P26" s="26"/>
      <c r="Q26" s="27"/>
    </row>
    <row r="27" spans="1:17" ht="20.100000000000001" customHeight="1" x14ac:dyDescent="0.35">
      <c r="A27" s="16"/>
      <c r="B27" s="16"/>
      <c r="C27" s="30"/>
      <c r="D27" s="22" t="e">
        <f t="shared" si="9"/>
        <v>#VALUE!</v>
      </c>
      <c r="E27" s="23" t="e">
        <f t="shared" si="10"/>
        <v>#VALUE!</v>
      </c>
      <c r="F27" s="23"/>
      <c r="G27" s="23" t="str">
        <f t="shared" si="11"/>
        <v/>
      </c>
      <c r="H27" s="23" t="str">
        <f t="shared" si="12"/>
        <v/>
      </c>
      <c r="I27" s="23" t="str">
        <f t="shared" si="13"/>
        <v/>
      </c>
      <c r="J27" s="23"/>
      <c r="K27" s="23" t="str">
        <f t="shared" si="14"/>
        <v/>
      </c>
      <c r="L27" s="23" t="str">
        <f t="shared" si="15"/>
        <v/>
      </c>
      <c r="M27" s="23" t="str">
        <f t="shared" si="16"/>
        <v/>
      </c>
      <c r="N27" s="24" t="str">
        <f t="shared" si="17"/>
        <v/>
      </c>
      <c r="O27" s="25"/>
      <c r="P27" s="26"/>
      <c r="Q27" s="27"/>
    </row>
    <row r="28" spans="1:17" ht="20.100000000000001" customHeight="1" x14ac:dyDescent="0.35">
      <c r="A28" s="14"/>
      <c r="B28" s="14"/>
      <c r="C28" s="30"/>
      <c r="D28" s="8" t="e">
        <f t="shared" si="9"/>
        <v>#VALUE!</v>
      </c>
      <c r="E28" s="6" t="e">
        <f t="shared" si="10"/>
        <v>#VALUE!</v>
      </c>
      <c r="F28" s="6"/>
      <c r="G28" s="6" t="str">
        <f t="shared" si="11"/>
        <v/>
      </c>
      <c r="H28" s="6" t="str">
        <f t="shared" si="12"/>
        <v/>
      </c>
      <c r="I28" s="6" t="str">
        <f t="shared" si="13"/>
        <v/>
      </c>
      <c r="J28" s="6"/>
      <c r="K28" s="6" t="str">
        <f t="shared" si="14"/>
        <v/>
      </c>
      <c r="L28" s="6" t="str">
        <f t="shared" si="15"/>
        <v/>
      </c>
      <c r="M28" s="6" t="str">
        <f t="shared" si="16"/>
        <v/>
      </c>
      <c r="N28" s="3" t="str">
        <f t="shared" si="17"/>
        <v/>
      </c>
      <c r="O28" s="14"/>
      <c r="P28" s="15"/>
      <c r="Q28" s="7"/>
    </row>
    <row r="29" spans="1:17" ht="20.100000000000001" customHeight="1" x14ac:dyDescent="0.35">
      <c r="A29" s="14"/>
      <c r="B29" s="14"/>
      <c r="C29" s="30"/>
      <c r="D29" s="8" t="e">
        <f t="shared" si="9"/>
        <v>#VALUE!</v>
      </c>
      <c r="E29" s="6" t="e">
        <f t="shared" si="10"/>
        <v>#VALUE!</v>
      </c>
      <c r="F29" s="6"/>
      <c r="G29" s="6" t="str">
        <f t="shared" si="11"/>
        <v/>
      </c>
      <c r="H29" s="6" t="str">
        <f t="shared" si="12"/>
        <v/>
      </c>
      <c r="I29" s="6" t="str">
        <f t="shared" si="13"/>
        <v/>
      </c>
      <c r="J29" s="6"/>
      <c r="K29" s="6" t="str">
        <f t="shared" si="14"/>
        <v/>
      </c>
      <c r="L29" s="6" t="str">
        <f t="shared" si="15"/>
        <v/>
      </c>
      <c r="M29" s="6" t="str">
        <f t="shared" si="16"/>
        <v/>
      </c>
      <c r="N29" s="3" t="str">
        <f t="shared" si="17"/>
        <v/>
      </c>
      <c r="O29" s="14"/>
      <c r="P29" s="15"/>
      <c r="Q29" s="7"/>
    </row>
    <row r="30" spans="1:17" ht="20.100000000000001" customHeight="1" x14ac:dyDescent="0.35">
      <c r="A30" s="14"/>
      <c r="B30" s="14"/>
      <c r="C30" s="30"/>
      <c r="D30" s="8" t="e">
        <f t="shared" si="9"/>
        <v>#VALUE!</v>
      </c>
      <c r="E30" s="6" t="e">
        <f t="shared" si="10"/>
        <v>#VALUE!</v>
      </c>
      <c r="F30" s="6"/>
      <c r="G30" s="6" t="str">
        <f t="shared" si="11"/>
        <v/>
      </c>
      <c r="H30" s="6" t="str">
        <f t="shared" si="12"/>
        <v/>
      </c>
      <c r="I30" s="6" t="str">
        <f t="shared" si="13"/>
        <v/>
      </c>
      <c r="J30" s="6"/>
      <c r="K30" s="6" t="str">
        <f t="shared" si="14"/>
        <v/>
      </c>
      <c r="L30" s="6" t="str">
        <f t="shared" si="15"/>
        <v/>
      </c>
      <c r="M30" s="6" t="str">
        <f t="shared" si="16"/>
        <v/>
      </c>
      <c r="N30" s="3" t="str">
        <f t="shared" si="17"/>
        <v/>
      </c>
      <c r="O30" s="14"/>
      <c r="P30" s="15"/>
      <c r="Q30" s="7"/>
    </row>
    <row r="31" spans="1:17" ht="20.100000000000001" customHeight="1" x14ac:dyDescent="0.35">
      <c r="A31" s="14"/>
      <c r="B31" s="14"/>
      <c r="C31" s="30"/>
      <c r="D31" s="8" t="e">
        <f t="shared" si="9"/>
        <v>#VALUE!</v>
      </c>
      <c r="E31" s="6" t="e">
        <f t="shared" si="10"/>
        <v>#VALUE!</v>
      </c>
      <c r="F31" s="6"/>
      <c r="G31" s="6" t="str">
        <f t="shared" si="11"/>
        <v/>
      </c>
      <c r="H31" s="6" t="str">
        <f t="shared" si="12"/>
        <v/>
      </c>
      <c r="I31" s="6" t="str">
        <f t="shared" si="13"/>
        <v/>
      </c>
      <c r="J31" s="6"/>
      <c r="K31" s="6" t="str">
        <f t="shared" si="14"/>
        <v/>
      </c>
      <c r="L31" s="6" t="str">
        <f t="shared" si="15"/>
        <v/>
      </c>
      <c r="M31" s="6" t="str">
        <f t="shared" si="16"/>
        <v/>
      </c>
      <c r="N31" s="3" t="str">
        <f t="shared" si="17"/>
        <v/>
      </c>
      <c r="O31" s="14"/>
      <c r="P31" s="15"/>
      <c r="Q31" s="7"/>
    </row>
    <row r="32" spans="1:17" ht="20.100000000000001" customHeight="1" x14ac:dyDescent="0.25">
      <c r="C32" s="31" t="str">
        <f>COUNTIF(E20:E31, "RC") + COUNTIF(E20:E31, "RI") +  COUNTIF(E20:E31, "AC") + COUNTIF(E20:E31, "RR") + COUNTIF(E20:E31, "RU") + COUNTIF(E20:E31, "GR") + COUNTIF(E20:E31, "RP") + COUNTIF(E20:E31, "GC") + COUNTIF(E20:E31, "RB") &amp; " ROLOS (" &amp;
IF(COUNTIF(E20:E31, "RC") &gt; 0, COUNTIF(E20:E31, "RC") &amp; " RC; ", "") &amp;
IF(COUNTIF(E20:E31, "RI") &gt; 0, COUNTIF(E20:E31, "RI") &amp; " RI; ", "") &amp;
IF(COUNTIF(E20:E31, "RR") &gt; 0, COUNTIF(E20:E31, "RR") &amp; " RR; ", "") &amp;
IF(COUNTIF(E20:E31, "RU") &gt; 0, COUNTIF(E20:E31, "RU") &amp; " RU; ", "") &amp;
IF(COUNTIF(E20:E31, "GR") &gt; 0, COUNTIF(E20:E31, "GR") &amp; " GR; ", "") &amp;
IF(COUNTIF(E20:E31, "RP") &gt; 0, COUNTIF(E20:E31, "RP") &amp; " RP; ", "") &amp;
IF(COUNTIF(E20:E31, "GC") &gt; 0, COUNTIF(E20:E31, "GC") &amp; " GC; ", "") &amp;
IF(COUNTIF(E20:E31, "RB") &gt; 0, COUNTIF(E20:E31, "RB") &amp; " RB", "") &amp;
IF(COUNTIF(E20:E31, "AC") &gt; 0, COUNTIF(E20:E31, "AC") &amp; "AC", "")
&amp;")"</f>
        <v>0 ROLOS ()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3"/>
    </row>
    <row r="34" spans="1:17" ht="20.100000000000001" customHeight="1" x14ac:dyDescent="0.4">
      <c r="A34" s="21" t="s">
        <v>15</v>
      </c>
      <c r="B34" s="21" t="s">
        <v>19</v>
      </c>
      <c r="C34" s="34" t="s">
        <v>18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</row>
    <row r="35" spans="1:17" ht="20.100000000000001" customHeight="1" x14ac:dyDescent="0.35">
      <c r="A35" s="4"/>
      <c r="B35" s="4"/>
      <c r="C35" s="35"/>
      <c r="D35" s="36"/>
      <c r="E35" s="37"/>
      <c r="F35" s="10"/>
      <c r="G35" s="38" t="s">
        <v>0</v>
      </c>
      <c r="H35" s="39"/>
      <c r="I35" s="40"/>
      <c r="J35" s="10"/>
      <c r="K35" s="41" t="s">
        <v>1</v>
      </c>
      <c r="L35" s="42"/>
      <c r="M35" s="43"/>
      <c r="N35" s="11"/>
      <c r="O35" s="11"/>
      <c r="P35" s="11"/>
      <c r="Q35" s="11"/>
    </row>
    <row r="36" spans="1:17" ht="20.100000000000001" customHeight="1" x14ac:dyDescent="0.3">
      <c r="A36" s="5"/>
      <c r="B36" s="5"/>
      <c r="C36" s="1" t="s">
        <v>6</v>
      </c>
      <c r="D36" s="9" t="s">
        <v>7</v>
      </c>
      <c r="E36" s="1" t="s">
        <v>8</v>
      </c>
      <c r="F36" s="2" t="s">
        <v>16</v>
      </c>
      <c r="G36" s="12" t="s">
        <v>9</v>
      </c>
      <c r="H36" s="12" t="s">
        <v>10</v>
      </c>
      <c r="I36" s="12" t="s">
        <v>11</v>
      </c>
      <c r="J36" s="2" t="s">
        <v>17</v>
      </c>
      <c r="K36" s="13" t="s">
        <v>12</v>
      </c>
      <c r="L36" s="13" t="s">
        <v>13</v>
      </c>
      <c r="M36" s="13" t="s">
        <v>14</v>
      </c>
      <c r="N36" s="11" t="s">
        <v>2</v>
      </c>
      <c r="O36" s="11" t="s">
        <v>3</v>
      </c>
      <c r="P36" s="11" t="s">
        <v>4</v>
      </c>
      <c r="Q36" s="11" t="s">
        <v>5</v>
      </c>
    </row>
    <row r="37" spans="1:17" ht="20.100000000000001" customHeight="1" x14ac:dyDescent="0.35">
      <c r="A37" s="28"/>
      <c r="B37" s="28"/>
      <c r="C37" s="29" t="s">
        <v>50</v>
      </c>
      <c r="D37" s="17" t="e">
        <f t="shared" ref="D37:D48" si="18">LEFT(B37, FIND("-", B37)-1)</f>
        <v>#VALUE!</v>
      </c>
      <c r="E37" s="18" t="e">
        <f t="shared" ref="E37:E48" si="19">MID(B37, FIND("-", B37)+1, FIND("-", B37, FIND("-", B37)+1)-FIND("-", B37)-1)</f>
        <v>#VALUE!</v>
      </c>
      <c r="F37" s="18"/>
      <c r="G37" s="18" t="str">
        <f t="shared" ref="G37:G48" si="20">IF(ISERROR(FIND("-D-", B37)), "", "X")</f>
        <v/>
      </c>
      <c r="H37" s="18" t="str">
        <f t="shared" ref="H37:H48" si="21">IF(ISERROR(FIND("-C-", B37)), "", "X")</f>
        <v/>
      </c>
      <c r="I37" s="18" t="str">
        <f t="shared" ref="I37:I48" si="22">IF(ISERROR(FIND("-E-", B37)), "", "X")</f>
        <v/>
      </c>
      <c r="J37" s="18"/>
      <c r="K37" s="18" t="str">
        <f t="shared" ref="K37:K48" si="23">IF(ISERROR(FIND("P1", A37)), "", "X")</f>
        <v/>
      </c>
      <c r="L37" s="18" t="str">
        <f t="shared" ref="L37:L48" si="24">IF(ISERROR(FIND("P2", A37)), "", "X")</f>
        <v/>
      </c>
      <c r="M37" s="18" t="str">
        <f t="shared" ref="M37:M48" si="25">IF(ISERROR(FIND("P3", A37)), "", "X")</f>
        <v/>
      </c>
      <c r="N37" s="3" t="str">
        <f t="shared" ref="N37:N48" si="26">IF(ISERROR(FIND("RO", B37)),
    IF(ISERROR(FIND("CD", B37)),
        IF(ISERROR(FIND("CG", B37)),
            IF(ISERROR(FIND("AG", B37)),
                IF(ISERROR(FIND("RT", B37)),
                    IF(ISERROR(FIND("RF", B37)),
                        IF(ISERROR(FIND("AM", B37)),
                            IF(ISERROR(FIND("RP", B37)), "",
                                "ROLO FORA DE POSIÇÃO"),
                            "ACUMULO DE MATERIAL"),
                        "ROLO FALTANTE"),
                    "ROLETE TRAVADO"),
                "DESGASTE NATURAL"),
            "CILINDRO GASTO"),
        "DEGOLADO"),
    "ROLAMENTO DANIFICADO")</f>
        <v/>
      </c>
      <c r="O37" s="16"/>
      <c r="P37" s="19"/>
      <c r="Q37" s="20"/>
    </row>
    <row r="38" spans="1:17" ht="20.100000000000001" customHeight="1" x14ac:dyDescent="0.35">
      <c r="A38" s="28"/>
      <c r="B38" s="28"/>
      <c r="C38" s="30"/>
      <c r="D38" s="22" t="e">
        <f t="shared" si="18"/>
        <v>#VALUE!</v>
      </c>
      <c r="E38" s="23" t="e">
        <f t="shared" si="19"/>
        <v>#VALUE!</v>
      </c>
      <c r="F38" s="23"/>
      <c r="G38" s="23" t="str">
        <f t="shared" si="20"/>
        <v/>
      </c>
      <c r="H38" s="23" t="str">
        <f t="shared" si="21"/>
        <v/>
      </c>
      <c r="I38" s="23" t="str">
        <f t="shared" si="22"/>
        <v/>
      </c>
      <c r="J38" s="23"/>
      <c r="K38" s="23" t="str">
        <f t="shared" si="23"/>
        <v/>
      </c>
      <c r="L38" s="23" t="str">
        <f t="shared" si="24"/>
        <v/>
      </c>
      <c r="M38" s="23" t="str">
        <f t="shared" si="25"/>
        <v/>
      </c>
      <c r="N38" s="24" t="str">
        <f t="shared" si="26"/>
        <v/>
      </c>
      <c r="O38" s="25"/>
      <c r="P38" s="26"/>
      <c r="Q38" s="27"/>
    </row>
    <row r="39" spans="1:17" ht="20.100000000000001" customHeight="1" x14ac:dyDescent="0.35">
      <c r="A39" s="28"/>
      <c r="B39" s="28"/>
      <c r="C39" s="30"/>
      <c r="D39" s="22" t="e">
        <f t="shared" si="18"/>
        <v>#VALUE!</v>
      </c>
      <c r="E39" s="23" t="e">
        <f t="shared" si="19"/>
        <v>#VALUE!</v>
      </c>
      <c r="F39" s="23"/>
      <c r="G39" s="23" t="str">
        <f t="shared" si="20"/>
        <v/>
      </c>
      <c r="H39" s="23" t="str">
        <f t="shared" si="21"/>
        <v/>
      </c>
      <c r="I39" s="23" t="str">
        <f t="shared" si="22"/>
        <v/>
      </c>
      <c r="J39" s="23"/>
      <c r="K39" s="23" t="str">
        <f t="shared" si="23"/>
        <v/>
      </c>
      <c r="L39" s="23" t="str">
        <f t="shared" si="24"/>
        <v/>
      </c>
      <c r="M39" s="23" t="str">
        <f t="shared" si="25"/>
        <v/>
      </c>
      <c r="N39" s="24" t="str">
        <f t="shared" si="26"/>
        <v/>
      </c>
      <c r="O39" s="25"/>
      <c r="P39" s="26"/>
      <c r="Q39" s="27"/>
    </row>
    <row r="40" spans="1:17" ht="20.100000000000001" customHeight="1" x14ac:dyDescent="0.35">
      <c r="A40" s="28"/>
      <c r="B40" s="28"/>
      <c r="C40" s="30"/>
      <c r="D40" s="22" t="e">
        <f t="shared" si="18"/>
        <v>#VALUE!</v>
      </c>
      <c r="E40" s="23" t="e">
        <f t="shared" si="19"/>
        <v>#VALUE!</v>
      </c>
      <c r="F40" s="23"/>
      <c r="G40" s="23" t="str">
        <f t="shared" si="20"/>
        <v/>
      </c>
      <c r="H40" s="23" t="str">
        <f t="shared" si="21"/>
        <v/>
      </c>
      <c r="I40" s="23" t="str">
        <f t="shared" si="22"/>
        <v/>
      </c>
      <c r="J40" s="23"/>
      <c r="K40" s="23" t="str">
        <f t="shared" si="23"/>
        <v/>
      </c>
      <c r="L40" s="23" t="str">
        <f t="shared" si="24"/>
        <v/>
      </c>
      <c r="M40" s="23" t="str">
        <f t="shared" si="25"/>
        <v/>
      </c>
      <c r="N40" s="24" t="str">
        <f t="shared" si="26"/>
        <v/>
      </c>
      <c r="O40" s="25"/>
      <c r="P40" s="26"/>
      <c r="Q40" s="27"/>
    </row>
    <row r="41" spans="1:17" ht="20.100000000000001" customHeight="1" x14ac:dyDescent="0.35">
      <c r="A41" s="28"/>
      <c r="B41" s="28"/>
      <c r="C41" s="30"/>
      <c r="D41" s="22" t="e">
        <f t="shared" si="18"/>
        <v>#VALUE!</v>
      </c>
      <c r="E41" s="23" t="e">
        <f t="shared" si="19"/>
        <v>#VALUE!</v>
      </c>
      <c r="F41" s="23"/>
      <c r="G41" s="23" t="str">
        <f t="shared" si="20"/>
        <v/>
      </c>
      <c r="H41" s="23" t="str">
        <f t="shared" si="21"/>
        <v/>
      </c>
      <c r="I41" s="23" t="str">
        <f t="shared" si="22"/>
        <v/>
      </c>
      <c r="J41" s="23"/>
      <c r="K41" s="23" t="str">
        <f t="shared" si="23"/>
        <v/>
      </c>
      <c r="L41" s="23" t="str">
        <f t="shared" si="24"/>
        <v/>
      </c>
      <c r="M41" s="23" t="str">
        <f t="shared" si="25"/>
        <v/>
      </c>
      <c r="N41" s="24" t="str">
        <f t="shared" si="26"/>
        <v/>
      </c>
      <c r="O41" s="25"/>
      <c r="P41" s="26"/>
      <c r="Q41" s="27"/>
    </row>
    <row r="42" spans="1:17" ht="20.100000000000001" customHeight="1" x14ac:dyDescent="0.35">
      <c r="A42" s="16"/>
      <c r="B42" s="16"/>
      <c r="C42" s="30"/>
      <c r="D42" s="22" t="e">
        <f t="shared" si="18"/>
        <v>#VALUE!</v>
      </c>
      <c r="E42" s="23" t="e">
        <f t="shared" si="19"/>
        <v>#VALUE!</v>
      </c>
      <c r="F42" s="23"/>
      <c r="G42" s="23" t="str">
        <f t="shared" si="20"/>
        <v/>
      </c>
      <c r="H42" s="23" t="str">
        <f t="shared" si="21"/>
        <v/>
      </c>
      <c r="I42" s="23" t="str">
        <f t="shared" si="22"/>
        <v/>
      </c>
      <c r="J42" s="23"/>
      <c r="K42" s="23" t="str">
        <f t="shared" si="23"/>
        <v/>
      </c>
      <c r="L42" s="23" t="str">
        <f t="shared" si="24"/>
        <v/>
      </c>
      <c r="M42" s="23" t="str">
        <f t="shared" si="25"/>
        <v/>
      </c>
      <c r="N42" s="24" t="str">
        <f t="shared" si="26"/>
        <v/>
      </c>
      <c r="O42" s="25"/>
      <c r="P42" s="26"/>
      <c r="Q42" s="27"/>
    </row>
    <row r="43" spans="1:17" ht="20.100000000000001" customHeight="1" x14ac:dyDescent="0.35">
      <c r="A43" s="16"/>
      <c r="B43" s="16"/>
      <c r="C43" s="30"/>
      <c r="D43" s="22" t="e">
        <f t="shared" si="18"/>
        <v>#VALUE!</v>
      </c>
      <c r="E43" s="23" t="e">
        <f t="shared" si="19"/>
        <v>#VALUE!</v>
      </c>
      <c r="F43" s="23"/>
      <c r="G43" s="23" t="str">
        <f t="shared" si="20"/>
        <v/>
      </c>
      <c r="H43" s="23" t="str">
        <f t="shared" si="21"/>
        <v/>
      </c>
      <c r="I43" s="23" t="str">
        <f t="shared" si="22"/>
        <v/>
      </c>
      <c r="J43" s="23"/>
      <c r="K43" s="23" t="str">
        <f t="shared" si="23"/>
        <v/>
      </c>
      <c r="L43" s="23" t="str">
        <f t="shared" si="24"/>
        <v/>
      </c>
      <c r="M43" s="23" t="str">
        <f t="shared" si="25"/>
        <v/>
      </c>
      <c r="N43" s="24" t="str">
        <f t="shared" si="26"/>
        <v/>
      </c>
      <c r="O43" s="25"/>
      <c r="P43" s="26"/>
      <c r="Q43" s="27"/>
    </row>
    <row r="44" spans="1:17" ht="20.100000000000001" customHeight="1" x14ac:dyDescent="0.35">
      <c r="A44" s="16"/>
      <c r="B44" s="16"/>
      <c r="C44" s="30"/>
      <c r="D44" s="22" t="e">
        <f t="shared" si="18"/>
        <v>#VALUE!</v>
      </c>
      <c r="E44" s="23" t="e">
        <f t="shared" si="19"/>
        <v>#VALUE!</v>
      </c>
      <c r="F44" s="23"/>
      <c r="G44" s="23" t="str">
        <f t="shared" si="20"/>
        <v/>
      </c>
      <c r="H44" s="23" t="str">
        <f t="shared" si="21"/>
        <v/>
      </c>
      <c r="I44" s="23" t="str">
        <f t="shared" si="22"/>
        <v/>
      </c>
      <c r="J44" s="23"/>
      <c r="K44" s="23" t="str">
        <f t="shared" si="23"/>
        <v/>
      </c>
      <c r="L44" s="23" t="str">
        <f t="shared" si="24"/>
        <v/>
      </c>
      <c r="M44" s="23" t="str">
        <f t="shared" si="25"/>
        <v/>
      </c>
      <c r="N44" s="24" t="str">
        <f t="shared" si="26"/>
        <v/>
      </c>
      <c r="O44" s="25"/>
      <c r="P44" s="26"/>
      <c r="Q44" s="27"/>
    </row>
    <row r="45" spans="1:17" ht="20.100000000000001" customHeight="1" x14ac:dyDescent="0.35">
      <c r="A45" s="14"/>
      <c r="B45" s="14"/>
      <c r="C45" s="30"/>
      <c r="D45" s="8" t="e">
        <f t="shared" si="18"/>
        <v>#VALUE!</v>
      </c>
      <c r="E45" s="6" t="e">
        <f t="shared" si="19"/>
        <v>#VALUE!</v>
      </c>
      <c r="F45" s="6"/>
      <c r="G45" s="6" t="str">
        <f t="shared" si="20"/>
        <v/>
      </c>
      <c r="H45" s="6" t="str">
        <f t="shared" si="21"/>
        <v/>
      </c>
      <c r="I45" s="6" t="str">
        <f t="shared" si="22"/>
        <v/>
      </c>
      <c r="J45" s="6"/>
      <c r="K45" s="6" t="str">
        <f t="shared" si="23"/>
        <v/>
      </c>
      <c r="L45" s="6" t="str">
        <f t="shared" si="24"/>
        <v/>
      </c>
      <c r="M45" s="6" t="str">
        <f t="shared" si="25"/>
        <v/>
      </c>
      <c r="N45" s="3" t="str">
        <f t="shared" si="26"/>
        <v/>
      </c>
      <c r="O45" s="14"/>
      <c r="P45" s="15"/>
      <c r="Q45" s="7"/>
    </row>
    <row r="46" spans="1:17" ht="20.100000000000001" customHeight="1" x14ac:dyDescent="0.35">
      <c r="A46" s="14"/>
      <c r="B46" s="14"/>
      <c r="C46" s="30"/>
      <c r="D46" s="8" t="e">
        <f t="shared" si="18"/>
        <v>#VALUE!</v>
      </c>
      <c r="E46" s="6" t="e">
        <f t="shared" si="19"/>
        <v>#VALUE!</v>
      </c>
      <c r="F46" s="6"/>
      <c r="G46" s="6" t="str">
        <f t="shared" si="20"/>
        <v/>
      </c>
      <c r="H46" s="6" t="str">
        <f t="shared" si="21"/>
        <v/>
      </c>
      <c r="I46" s="6" t="str">
        <f t="shared" si="22"/>
        <v/>
      </c>
      <c r="J46" s="6"/>
      <c r="K46" s="6" t="str">
        <f t="shared" si="23"/>
        <v/>
      </c>
      <c r="L46" s="6" t="str">
        <f t="shared" si="24"/>
        <v/>
      </c>
      <c r="M46" s="6" t="str">
        <f t="shared" si="25"/>
        <v/>
      </c>
      <c r="N46" s="3" t="str">
        <f t="shared" si="26"/>
        <v/>
      </c>
      <c r="O46" s="14"/>
      <c r="P46" s="15"/>
      <c r="Q46" s="7"/>
    </row>
    <row r="47" spans="1:17" ht="20.100000000000001" customHeight="1" x14ac:dyDescent="0.35">
      <c r="A47" s="14"/>
      <c r="B47" s="14"/>
      <c r="C47" s="30"/>
      <c r="D47" s="8" t="e">
        <f t="shared" si="18"/>
        <v>#VALUE!</v>
      </c>
      <c r="E47" s="6" t="e">
        <f t="shared" si="19"/>
        <v>#VALUE!</v>
      </c>
      <c r="F47" s="6"/>
      <c r="G47" s="6" t="str">
        <f t="shared" si="20"/>
        <v/>
      </c>
      <c r="H47" s="6" t="str">
        <f t="shared" si="21"/>
        <v/>
      </c>
      <c r="I47" s="6" t="str">
        <f t="shared" si="22"/>
        <v/>
      </c>
      <c r="J47" s="6"/>
      <c r="K47" s="6" t="str">
        <f t="shared" si="23"/>
        <v/>
      </c>
      <c r="L47" s="6" t="str">
        <f t="shared" si="24"/>
        <v/>
      </c>
      <c r="M47" s="6" t="str">
        <f t="shared" si="25"/>
        <v/>
      </c>
      <c r="N47" s="3" t="str">
        <f t="shared" si="26"/>
        <v/>
      </c>
      <c r="O47" s="14"/>
      <c r="P47" s="15"/>
      <c r="Q47" s="7"/>
    </row>
    <row r="48" spans="1:17" ht="20.100000000000001" customHeight="1" x14ac:dyDescent="0.35">
      <c r="A48" s="14"/>
      <c r="B48" s="14"/>
      <c r="C48" s="30"/>
      <c r="D48" s="8" t="e">
        <f t="shared" si="18"/>
        <v>#VALUE!</v>
      </c>
      <c r="E48" s="6" t="e">
        <f t="shared" si="19"/>
        <v>#VALUE!</v>
      </c>
      <c r="F48" s="6"/>
      <c r="G48" s="6" t="str">
        <f t="shared" si="20"/>
        <v/>
      </c>
      <c r="H48" s="6" t="str">
        <f t="shared" si="21"/>
        <v/>
      </c>
      <c r="I48" s="6" t="str">
        <f t="shared" si="22"/>
        <v/>
      </c>
      <c r="J48" s="6"/>
      <c r="K48" s="6" t="str">
        <f t="shared" si="23"/>
        <v/>
      </c>
      <c r="L48" s="6" t="str">
        <f t="shared" si="24"/>
        <v/>
      </c>
      <c r="M48" s="6" t="str">
        <f t="shared" si="25"/>
        <v/>
      </c>
      <c r="N48" s="3" t="str">
        <f t="shared" si="26"/>
        <v/>
      </c>
      <c r="O48" s="14"/>
      <c r="P48" s="15"/>
      <c r="Q48" s="7"/>
    </row>
    <row r="49" spans="3:17" ht="20.100000000000001" customHeight="1" x14ac:dyDescent="0.25">
      <c r="C49" s="31" t="str">
        <f>COUNTIF(E37:E48, "RC") + COUNTIF(E37:E48, "RI") +  COUNTIF(E37:E48, "AC") + COUNTIF(E37:E48, "RR") + COUNTIF(E37:E48, "RU") + COUNTIF(E37:E48, "GR") + COUNTIF(E37:E48, "RP") + COUNTIF(E37:E48, "GC") + COUNTIF(E37:E48, "RB") &amp; " ROLOS (" &amp;
IF(COUNTIF(E37:E48, "RC") &gt; 0, COUNTIF(E37:E48, "RC") &amp; " RC; ", "") &amp;
IF(COUNTIF(E37:E48, "RI") &gt; 0, COUNTIF(E37:E48, "RI") &amp; " RI; ", "") &amp;
IF(COUNTIF(E37:E48, "RR") &gt; 0, COUNTIF(E37:E48, "RR") &amp; " RR; ", "") &amp;
IF(COUNTIF(E37:E48, "RU") &gt; 0, COUNTIF(E37:E48, "RU") &amp; " RU; ", "") &amp;
IF(COUNTIF(E37:E48, "GR") &gt; 0, COUNTIF(E37:E48, "GR") &amp; " GR; ", "") &amp;
IF(COUNTIF(E37:E48, "RP") &gt; 0, COUNTIF(E37:E48, "RP") &amp; " RP; ", "") &amp;
IF(COUNTIF(E37:E48, "GC") &gt; 0, COUNTIF(E37:E48, "GC") &amp; " GC; ", "") &amp;
IF(COUNTIF(E37:E48, "RB") &gt; 0, COUNTIF(E37:E48, "RB") &amp; " RB", "") &amp;
IF(COUNTIF(E37:E48, "AC") &gt; 0, COUNTIF(E37:E48, "AC") &amp; "AC", "")
&amp;")"</f>
        <v>0 ROLOS ()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</row>
  </sheetData>
  <mergeCells count="18">
    <mergeCell ref="C32:Q32"/>
    <mergeCell ref="C2:Q2"/>
    <mergeCell ref="C3:E3"/>
    <mergeCell ref="G3:I3"/>
    <mergeCell ref="K3:M3"/>
    <mergeCell ref="C5:C14"/>
    <mergeCell ref="C15:Q15"/>
    <mergeCell ref="C17:Q17"/>
    <mergeCell ref="C18:E18"/>
    <mergeCell ref="G18:I18"/>
    <mergeCell ref="K18:M18"/>
    <mergeCell ref="C20:C31"/>
    <mergeCell ref="C34:Q34"/>
    <mergeCell ref="C35:E35"/>
    <mergeCell ref="G35:I35"/>
    <mergeCell ref="K35:M35"/>
    <mergeCell ref="C37:C48"/>
    <mergeCell ref="C49:Q49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88FC5E40B954D859CF57130935F89" ma:contentTypeVersion="9" ma:contentTypeDescription="Crie um novo documento." ma:contentTypeScope="" ma:versionID="b05ec392e76c7621e8ce7b191aba0401">
  <xsd:schema xmlns:xsd="http://www.w3.org/2001/XMLSchema" xmlns:xs="http://www.w3.org/2001/XMLSchema" xmlns:p="http://schemas.microsoft.com/office/2006/metadata/properties" xmlns:ns2="79934d8f-d6d3-4e72-afef-289670e804bf" targetNamespace="http://schemas.microsoft.com/office/2006/metadata/properties" ma:root="true" ma:fieldsID="7c4b5e43355ac8e4108dc2213a0cc90d" ns2:_="">
    <xsd:import namespace="79934d8f-d6d3-4e72-afef-289670e80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4d8f-d6d3-4e72-afef-289670e80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32ED8-40B0-4785-8E28-E893573A2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75F557-901C-4FB4-ABBD-F503EB1C93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A7B2E2-E9BA-40FD-8853-ACCE3E55C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934d8f-d6d3-4e72-afef-289670e80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ALEGRIA SUL 2</vt:lpstr>
      <vt:lpstr>ALEGRIA SUL 1</vt:lpstr>
      <vt:lpstr>FAZENDÃO</vt:lpstr>
      <vt:lpstr>ALEGRIA CENTRO</vt:lpstr>
      <vt:lpstr>BRAÇO 64</vt:lpstr>
      <vt:lpstr>ALEGRIA 345</vt:lpstr>
    </vt:vector>
  </TitlesOfParts>
  <Manager/>
  <Company>Samarco Mineração S/A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Marcio da Silva</dc:creator>
  <cp:keywords/>
  <dc:description/>
  <cp:lastModifiedBy>Carlos Eduardo Felício</cp:lastModifiedBy>
  <cp:revision/>
  <dcterms:created xsi:type="dcterms:W3CDTF">2017-05-25T19:39:29Z</dcterms:created>
  <dcterms:modified xsi:type="dcterms:W3CDTF">2026-03-10T14:24:09Z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0x01010002088FC5E40B954D859CF57130935F89</vt:lpwstr>
  </property>
</Properties>
</file>