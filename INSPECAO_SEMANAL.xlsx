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ção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15" max="15"/>
    <col width="13" bestFit="1" customWidth="1" min="16" max="16"/>
  </cols>
  <sheetData>
    <row r="1">
      <c r="A1" s="1" t="inlineStr">
        <is>
          <t>PRIORIDADE</t>
        </is>
      </c>
      <c r="B1" s="1" t="inlineStr">
        <is>
          <t>TEXTO DO ITEM</t>
        </is>
      </c>
      <c r="C1" s="1" t="inlineStr">
        <is>
          <t>CORREIA</t>
        </is>
      </c>
      <c r="O1" s="1" t="inlineStr">
        <is>
          <t>Nº NOTA</t>
        </is>
      </c>
      <c r="P1" s="1" t="inlineStr">
        <is>
          <t>DATA INSPEÇÃO</t>
        </is>
      </c>
    </row>
    <row r="2">
      <c r="A2" s="1" t="inlineStr">
        <is>
          <t>P1 - Urgência</t>
        </is>
      </c>
      <c r="B2" s="1" t="inlineStr">
        <is>
          <t>1-RC-A-RT</t>
        </is>
      </c>
      <c r="C2" s="1" t="inlineStr">
        <is>
          <t>11CV60</t>
        </is>
      </c>
      <c r="D2" s="1">
        <f>LEFT(B2,FIND("-",B2)-1)</f>
        <v/>
      </c>
      <c r="E2" s="1">
        <f>MID(B2,FIND("-",B2)+1,FIND("-",B2,FIND("-",B2)+1)-FIND("-",B2)-1)</f>
        <v/>
      </c>
      <c r="G2" s="1">
        <f>IF(ISERROR(FIND("-D-",B2)),"","X")</f>
        <v/>
      </c>
      <c r="H2" s="1">
        <f>IF(ISERROR(FIND("-C-",B2)),"","X")</f>
        <v/>
      </c>
      <c r="I2" s="1">
        <f>IF(ISERROR(FIND("-E-",B2)),"","X")</f>
        <v/>
      </c>
      <c r="K2" s="1">
        <f>IF(ISERROR(FIND("P1",A2)),"","X")</f>
        <v/>
      </c>
      <c r="L2" s="1">
        <f>IF(ISERROR(FIND("P2",A2)),"","X")</f>
        <v/>
      </c>
      <c r="M2" s="1">
        <f>IF(ISERROR(FIND("P3",A2)),"","X")</f>
        <v/>
      </c>
      <c r="N2" s="1">
        <f>IF(ISERROR(FIND("RO",B2)),IF(ISERROR(FIND("CD",B2)),IF(ISERROR(FIND("CG",B2)),IF(ISERROR(FIND("AG",B2)),IF(ISERROR(FIND("RT",B2)),IF(ISERROR(FIND("RF",B2)),IF(ISERROR(FIND("AM",B2)),IF(ISERROR(FIND("RP",B2)),"","ROLO FORA DE POSIÇÃO"),"ACUMULO DE MATERIAL"),"ROLO FALTANTE"),"ROLETE TRAVADO"),"DESGASTE NATURAL"),"CILINDRO GASTO"),"DEGOLADO"),"ROLAMENTO DANIFICADO")</f>
        <v/>
      </c>
      <c r="O2" s="1" t="n">
        <v>11984756</v>
      </c>
      <c r="P2" s="2" t="n">
        <v>46055</v>
      </c>
    </row>
    <row r="3">
      <c r="A3" s="1" t="inlineStr">
        <is>
          <t>P1 - Urgência</t>
        </is>
      </c>
      <c r="B3" s="1" t="inlineStr">
        <is>
          <t>4-RC-E-RT</t>
        </is>
      </c>
      <c r="C3" s="1" t="inlineStr">
        <is>
          <t>11CV60</t>
        </is>
      </c>
      <c r="D3" s="1">
        <f>LEFT(B3,FIND("-",B3)-1)</f>
        <v/>
      </c>
      <c r="E3" s="1">
        <f>MID(B3,FIND("-",B3)+1,FIND("-",B3,FIND("-",B3)+1)-FIND("-",B3)-1)</f>
        <v/>
      </c>
      <c r="G3" s="1">
        <f>IF(ISERROR(FIND("-D-",B3)),"","X")</f>
        <v/>
      </c>
      <c r="H3" s="1">
        <f>IF(ISERROR(FIND("-C-",B3)),"","X")</f>
        <v/>
      </c>
      <c r="I3" s="1">
        <f>IF(ISERROR(FIND("-E-",B3)),"","X")</f>
        <v/>
      </c>
      <c r="K3" s="1">
        <f>IF(ISERROR(FIND("P1",A3)),"","X")</f>
        <v/>
      </c>
      <c r="L3" s="1">
        <f>IF(ISERROR(FIND("P2",A3)),"","X")</f>
        <v/>
      </c>
      <c r="M3" s="1">
        <f>IF(ISERROR(FIND("P3",A3)),"","X")</f>
        <v/>
      </c>
      <c r="N3" s="1">
        <f>IF(ISERROR(FIND("RO",B3)),IF(ISERROR(FIND("CD",B3)),IF(ISERROR(FIND("CG",B3)),IF(ISERROR(FIND("AG",B3)),IF(ISERROR(FIND("RT",B3)),IF(ISERROR(FIND("RF",B3)),IF(ISERROR(FIND("AM",B3)),IF(ISERROR(FIND("RP",B3)),"","ROLO FORA DE POSIÇÃO"),"ACUMULO DE MATERIAL"),"ROLO FALTANTE"),"ROLETE TRAVADO"),"DESGASTE NATURAL"),"CILINDRO GASTO"),"DEGOLADO"),"ROLAMENTO DANIFICADO")</f>
        <v/>
      </c>
      <c r="O3" s="1" t="n">
        <v>11997030</v>
      </c>
      <c r="P3" s="2" t="n">
        <v>46073</v>
      </c>
    </row>
    <row r="4">
      <c r="A4" s="1" t="inlineStr">
        <is>
          <t>P1 - Urgência</t>
        </is>
      </c>
      <c r="B4" s="1" t="inlineStr">
        <is>
          <t>6-RC-C-RF</t>
        </is>
      </c>
      <c r="C4" s="1" t="inlineStr">
        <is>
          <t>11CV60</t>
        </is>
      </c>
      <c r="D4" s="1">
        <f>LEFT(B4,FIND("-",B4)-1)</f>
        <v/>
      </c>
      <c r="E4" s="1">
        <f>MID(B4,FIND("-",B4)+1,FIND("-",B4,FIND("-",B4)+1)-FIND("-",B4)-1)</f>
        <v/>
      </c>
      <c r="G4" s="1">
        <f>IF(ISERROR(FIND("-D-",B4)),"","X")</f>
        <v/>
      </c>
      <c r="H4" s="1">
        <f>IF(ISERROR(FIND("-C-",B4)),"","X")</f>
        <v/>
      </c>
      <c r="I4" s="1">
        <f>IF(ISERROR(FIND("-E-",B4)),"","X")</f>
        <v/>
      </c>
      <c r="K4" s="1">
        <f>IF(ISERROR(FIND("P1",A4)),"","X")</f>
        <v/>
      </c>
      <c r="L4" s="1">
        <f>IF(ISERROR(FIND("P2",A4)),"","X")</f>
        <v/>
      </c>
      <c r="M4" s="1">
        <f>IF(ISERROR(FIND("P3",A4)),"","X")</f>
        <v/>
      </c>
      <c r="N4" s="1">
        <f>IF(ISERROR(FIND("RO",B4)),IF(ISERROR(FIND("CD",B4)),IF(ISERROR(FIND("CG",B4)),IF(ISERROR(FIND("AG",B4)),IF(ISERROR(FIND("RT",B4)),IF(ISERROR(FIND("RF",B4)),IF(ISERROR(FIND("AM",B4)),IF(ISERROR(FIND("RP",B4)),"","ROLO FORA DE POSIÇÃO"),"ACUMULO DE MATERIAL"),"ROLO FALTANTE"),"ROLETE TRAVADO"),"DESGASTE NATURAL"),"CILINDRO GASTO"),"DEGOLADO"),"ROLAMENTO DANIFICADO")</f>
        <v/>
      </c>
      <c r="O4" s="1" t="n">
        <v>12000993</v>
      </c>
      <c r="P4" s="2" t="n">
        <v>46078</v>
      </c>
    </row>
    <row r="5">
      <c r="A5" s="1" t="inlineStr">
        <is>
          <t>P1 - Urgência</t>
        </is>
      </c>
      <c r="B5" s="1" t="inlineStr">
        <is>
          <t>6-RC-A-RO</t>
        </is>
      </c>
      <c r="C5" s="1" t="inlineStr">
        <is>
          <t>11CV60</t>
        </is>
      </c>
      <c r="D5" s="1">
        <f>LEFT(B5,FIND("-",B5)-1)</f>
        <v/>
      </c>
      <c r="E5" s="1">
        <f>MID(B5,FIND("-",B5)+1,FIND("-",B5,FIND("-",B5)+1)-FIND("-",B5)-1)</f>
        <v/>
      </c>
      <c r="G5" s="1">
        <f>IF(ISERROR(FIND("-D-",B5)),"","X")</f>
        <v/>
      </c>
      <c r="H5" s="1">
        <f>IF(ISERROR(FIND("-C-",B5)),"","X")</f>
        <v/>
      </c>
      <c r="I5" s="1">
        <f>IF(ISERROR(FIND("-E-",B5)),"","X")</f>
        <v/>
      </c>
      <c r="K5" s="1">
        <f>IF(ISERROR(FIND("P1",A5)),"","X")</f>
        <v/>
      </c>
      <c r="L5" s="1">
        <f>IF(ISERROR(FIND("P2",A5)),"","X")</f>
        <v/>
      </c>
      <c r="M5" s="1">
        <f>IF(ISERROR(FIND("P3",A5)),"","X")</f>
        <v/>
      </c>
      <c r="N5" s="1">
        <f>IF(ISERROR(FIND("RO",B5)),IF(ISERROR(FIND("CD",B5)),IF(ISERROR(FIND("CG",B5)),IF(ISERROR(FIND("AG",B5)),IF(ISERROR(FIND("RT",B5)),IF(ISERROR(FIND("RF",B5)),IF(ISERROR(FIND("AM",B5)),IF(ISERROR(FIND("RP",B5)),"","ROLO FORA DE POSIÇÃO"),"ACUMULO DE MATERIAL"),"ROLO FALTANTE"),"ROLETE TRAVADO"),"DESGASTE NATURAL"),"CILINDRO GASTO"),"DEGOLADO"),"ROLAMENTO DANIFICADO")</f>
        <v/>
      </c>
      <c r="O5" s="1" t="n">
        <v>12000994</v>
      </c>
      <c r="P5" s="2" t="n">
        <v>46078</v>
      </c>
    </row>
    <row r="6">
      <c r="A6" s="1" t="inlineStr">
        <is>
          <t>P1 - Urgência</t>
        </is>
      </c>
      <c r="B6" s="1" t="inlineStr">
        <is>
          <t>7-AC-C-RO</t>
        </is>
      </c>
      <c r="C6" s="1" t="inlineStr">
        <is>
          <t>11CV60</t>
        </is>
      </c>
      <c r="D6" s="1">
        <f>LEFT(B6,FIND("-",B6)-1)</f>
        <v/>
      </c>
      <c r="E6" s="1">
        <f>MID(B6,FIND("-",B6)+1,FIND("-",B6,FIND("-",B6)+1)-FIND("-",B6)-1)</f>
        <v/>
      </c>
      <c r="G6" s="1">
        <f>IF(ISERROR(FIND("-D-",B6)),"","X")</f>
        <v/>
      </c>
      <c r="H6" s="1">
        <f>IF(ISERROR(FIND("-C-",B6)),"","X")</f>
        <v/>
      </c>
      <c r="I6" s="1">
        <f>IF(ISERROR(FIND("-E-",B6)),"","X")</f>
        <v/>
      </c>
      <c r="K6" s="1">
        <f>IF(ISERROR(FIND("P1",A6)),"","X")</f>
        <v/>
      </c>
      <c r="L6" s="1">
        <f>IF(ISERROR(FIND("P2",A6)),"","X")</f>
        <v/>
      </c>
      <c r="M6" s="1">
        <f>IF(ISERROR(FIND("P3",A6)),"","X")</f>
        <v/>
      </c>
      <c r="N6" s="1">
        <f>IF(ISERROR(FIND("RO",B6)),IF(ISERROR(FIND("CD",B6)),IF(ISERROR(FIND("CG",B6)),IF(ISERROR(FIND("AG",B6)),IF(ISERROR(FIND("RT",B6)),IF(ISERROR(FIND("RF",B6)),IF(ISERROR(FIND("AM",B6)),IF(ISERROR(FIND("RP",B6)),"","ROLO FORA DE POSIÇÃO"),"ACUMULO DE MATERIAL"),"ROLO FALTANTE"),"ROLETE TRAVADO"),"DESGASTE NATURAL"),"CILINDRO GASTO"),"DEGOLADO"),"ROLAMENTO DANIFICADO")</f>
        <v/>
      </c>
      <c r="O6" s="1" t="n">
        <v>12000990</v>
      </c>
      <c r="P6" s="2" t="n">
        <v>46078</v>
      </c>
    </row>
    <row r="7">
      <c r="A7" s="1" t="inlineStr">
        <is>
          <t>P1 - Urgência</t>
        </is>
      </c>
      <c r="B7" s="1" t="inlineStr">
        <is>
          <t>23-RR-A-RT</t>
        </is>
      </c>
      <c r="C7" s="1" t="inlineStr">
        <is>
          <t>11CV60</t>
        </is>
      </c>
      <c r="D7" s="1">
        <f>LEFT(B7,FIND("-",B7)-1)</f>
        <v/>
      </c>
      <c r="E7" s="1">
        <f>MID(B7,FIND("-",B7)+1,FIND("-",B7,FIND("-",B7)+1)-FIND("-",B7)-1)</f>
        <v/>
      </c>
      <c r="G7" s="1">
        <f>IF(ISERROR(FIND("-D-",B7)),"","X")</f>
        <v/>
      </c>
      <c r="H7" s="1">
        <f>IF(ISERROR(FIND("-C-",B7)),"","X")</f>
        <v/>
      </c>
      <c r="I7" s="1">
        <f>IF(ISERROR(FIND("-E-",B7)),"","X")</f>
        <v/>
      </c>
      <c r="K7" s="1">
        <f>IF(ISERROR(FIND("P1",A7)),"","X")</f>
        <v/>
      </c>
      <c r="L7" s="1">
        <f>IF(ISERROR(FIND("P2",A7)),"","X")</f>
        <v/>
      </c>
      <c r="M7" s="1">
        <f>IF(ISERROR(FIND("P3",A7)),"","X")</f>
        <v/>
      </c>
      <c r="N7" s="1">
        <f>IF(ISERROR(FIND("RO",B7)),IF(ISERROR(FIND("CD",B7)),IF(ISERROR(FIND("CG",B7)),IF(ISERROR(FIND("AG",B7)),IF(ISERROR(FIND("RT",B7)),IF(ISERROR(FIND("RF",B7)),IF(ISERROR(FIND("AM",B7)),IF(ISERROR(FIND("RP",B7)),"","ROLO FORA DE POSIÇÃO"),"ACUMULO DE MATERIAL"),"ROLO FALTANTE"),"ROLETE TRAVADO"),"DESGASTE NATURAL"),"CILINDRO GASTO"),"DEGOLADO"),"ROLAMENTO DANIFICADO")</f>
        <v/>
      </c>
      <c r="O7" s="1" t="n">
        <v>11984769</v>
      </c>
      <c r="P7" s="2" t="n">
        <v>46055</v>
      </c>
    </row>
    <row r="8">
      <c r="A8" s="1" t="inlineStr">
        <is>
          <t>P1 - Urgência</t>
        </is>
      </c>
      <c r="B8" s="1" t="inlineStr">
        <is>
          <t>24-RI-E-RO</t>
        </is>
      </c>
      <c r="C8" s="1" t="inlineStr">
        <is>
          <t>11CV60</t>
        </is>
      </c>
      <c r="D8" s="1">
        <f>LEFT(B8,FIND("-",B8)-1)</f>
        <v/>
      </c>
      <c r="E8" s="1">
        <f>MID(B8,FIND("-",B8)+1,FIND("-",B8,FIND("-",B8)+1)-FIND("-",B8)-1)</f>
        <v/>
      </c>
      <c r="G8" s="1">
        <f>IF(ISERROR(FIND("-D-",B8)),"","X")</f>
        <v/>
      </c>
      <c r="H8" s="1">
        <f>IF(ISERROR(FIND("-C-",B8)),"","X")</f>
        <v/>
      </c>
      <c r="I8" s="1">
        <f>IF(ISERROR(FIND("-E-",B8)),"","X")</f>
        <v/>
      </c>
      <c r="K8" s="1">
        <f>IF(ISERROR(FIND("P1",A8)),"","X")</f>
        <v/>
      </c>
      <c r="L8" s="1">
        <f>IF(ISERROR(FIND("P2",A8)),"","X")</f>
        <v/>
      </c>
      <c r="M8" s="1">
        <f>IF(ISERROR(FIND("P3",A8)),"","X")</f>
        <v/>
      </c>
      <c r="N8" s="1">
        <f>IF(ISERROR(FIND("RO",B8)),IF(ISERROR(FIND("CD",B8)),IF(ISERROR(FIND("CG",B8)),IF(ISERROR(FIND("AG",B8)),IF(ISERROR(FIND("RT",B8)),IF(ISERROR(FIND("RF",B8)),IF(ISERROR(FIND("AM",B8)),IF(ISERROR(FIND("RP",B8)),"","ROLO FORA DE POSIÇÃO"),"ACUMULO DE MATERIAL"),"ROLO FALTANTE"),"ROLETE TRAVADO"),"DESGASTE NATURAL"),"CILINDRO GASTO"),"DEGOLADO"),"ROLAMENTO DANIFICADO")</f>
        <v/>
      </c>
      <c r="O8" s="1" t="n">
        <v>11968987</v>
      </c>
      <c r="P8" s="2" t="n">
        <v>46035</v>
      </c>
    </row>
    <row r="9">
      <c r="A9" s="1" t="inlineStr">
        <is>
          <t>P1 - Urgência</t>
        </is>
      </c>
      <c r="B9" s="1" t="inlineStr">
        <is>
          <t>24-RI-E-RF</t>
        </is>
      </c>
      <c r="C9" s="1" t="inlineStr">
        <is>
          <t>11CV60</t>
        </is>
      </c>
      <c r="D9" s="1">
        <f>LEFT(B9,FIND("-",B9)-1)</f>
        <v/>
      </c>
      <c r="E9" s="1">
        <f>MID(B9,FIND("-",B9)+1,FIND("-",B9,FIND("-",B9)+1)-FIND("-",B9)-1)</f>
        <v/>
      </c>
      <c r="G9" s="1">
        <f>IF(ISERROR(FIND("-D-",B9)),"","X")</f>
        <v/>
      </c>
      <c r="H9" s="1">
        <f>IF(ISERROR(FIND("-C-",B9)),"","X")</f>
        <v/>
      </c>
      <c r="I9" s="1">
        <f>IF(ISERROR(FIND("-E-",B9)),"","X")</f>
        <v/>
      </c>
      <c r="K9" s="1">
        <f>IF(ISERROR(FIND("P1",A9)),"","X")</f>
        <v/>
      </c>
      <c r="L9" s="1">
        <f>IF(ISERROR(FIND("P2",A9)),"","X")</f>
        <v/>
      </c>
      <c r="M9" s="1">
        <f>IF(ISERROR(FIND("P3",A9)),"","X")</f>
        <v/>
      </c>
      <c r="N9" s="1">
        <f>IF(ISERROR(FIND("RO",B9)),IF(ISERROR(FIND("CD",B9)),IF(ISERROR(FIND("CG",B9)),IF(ISERROR(FIND("AG",B9)),IF(ISERROR(FIND("RT",B9)),IF(ISERROR(FIND("RF",B9)),IF(ISERROR(FIND("AM",B9)),IF(ISERROR(FIND("RP",B9)),"","ROLO FORA DE POSIÇÃO"),"ACUMULO DE MATERIAL"),"ROLO FALTANTE"),"ROLETE TRAVADO"),"DESGASTE NATURAL"),"CILINDRO GASTO"),"DEGOLADO"),"ROLAMENTO DANIFICADO")</f>
        <v/>
      </c>
      <c r="O9" s="1" t="n">
        <v>12006229</v>
      </c>
      <c r="P9" s="2" t="n">
        <v>46085</v>
      </c>
    </row>
    <row r="10">
      <c r="A10" s="1" t="inlineStr">
        <is>
          <t>P1 - Urgência</t>
        </is>
      </c>
      <c r="B10" s="1" t="inlineStr">
        <is>
          <t>24-RI-E-RO</t>
        </is>
      </c>
      <c r="C10" s="1" t="inlineStr">
        <is>
          <t>11CV60</t>
        </is>
      </c>
      <c r="D10" s="1">
        <f>LEFT(B10,FIND("-",B10)-1)</f>
        <v/>
      </c>
      <c r="E10" s="1">
        <f>MID(B10,FIND("-",B10)+1,FIND("-",B10,FIND("-",B10)+1)-FIND("-",B10)-1)</f>
        <v/>
      </c>
      <c r="G10" s="1">
        <f>IF(ISERROR(FIND("-D-",B10)),"","X")</f>
        <v/>
      </c>
      <c r="H10" s="1">
        <f>IF(ISERROR(FIND("-C-",B10)),"","X")</f>
        <v/>
      </c>
      <c r="I10" s="1">
        <f>IF(ISERROR(FIND("-E-",B10)),"","X")</f>
        <v/>
      </c>
      <c r="K10" s="1">
        <f>IF(ISERROR(FIND("P1",A10)),"","X")</f>
        <v/>
      </c>
      <c r="L10" s="1">
        <f>IF(ISERROR(FIND("P2",A10)),"","X")</f>
        <v/>
      </c>
      <c r="M10" s="1">
        <f>IF(ISERROR(FIND("P3",A10)),"","X")</f>
        <v/>
      </c>
      <c r="N10" s="1">
        <f>IF(ISERROR(FIND("RO",B10)),IF(ISERROR(FIND("CD",B10)),IF(ISERROR(FIND("CG",B10)),IF(ISERROR(FIND("AG",B10)),IF(ISERROR(FIND("RT",B10)),IF(ISERROR(FIND("RF",B10)),IF(ISERROR(FIND("AM",B10)),IF(ISERROR(FIND("RP",B10)),"","ROLO FORA DE POSIÇÃO"),"ACUMULO DE MATERIAL"),"ROLO FALTANTE"),"ROLETE TRAVADO"),"DESGASTE NATURAL"),"CILINDRO GASTO"),"DEGOLADO"),"ROLAMENTO DANIFICADO")</f>
        <v/>
      </c>
      <c r="O10" s="1" t="n">
        <v>12006233</v>
      </c>
      <c r="P10" s="2" t="n">
        <v>46085</v>
      </c>
    </row>
    <row r="11">
      <c r="A11" s="1" t="inlineStr">
        <is>
          <t>P1 - Urgência</t>
        </is>
      </c>
      <c r="B11" s="1" t="inlineStr">
        <is>
          <t>32-AR-D-RO</t>
        </is>
      </c>
      <c r="C11" s="1" t="inlineStr">
        <is>
          <t>11CV60</t>
        </is>
      </c>
      <c r="D11" s="1">
        <f>LEFT(B11,FIND("-",B11)-1)</f>
        <v/>
      </c>
      <c r="E11" s="1">
        <f>MID(B11,FIND("-",B11)+1,FIND("-",B11,FIND("-",B11)+1)-FIND("-",B11)-1)</f>
        <v/>
      </c>
      <c r="G11" s="1">
        <f>IF(ISERROR(FIND("-D-",B11)),"","X")</f>
        <v/>
      </c>
      <c r="H11" s="1">
        <f>IF(ISERROR(FIND("-C-",B11)),"","X")</f>
        <v/>
      </c>
      <c r="I11" s="1">
        <f>IF(ISERROR(FIND("-E-",B11)),"","X")</f>
        <v/>
      </c>
      <c r="K11" s="1">
        <f>IF(ISERROR(FIND("P1",A11)),"","X")</f>
        <v/>
      </c>
      <c r="L11" s="1">
        <f>IF(ISERROR(FIND("P2",A11)),"","X")</f>
        <v/>
      </c>
      <c r="M11" s="1">
        <f>IF(ISERROR(FIND("P3",A11)),"","X")</f>
        <v/>
      </c>
      <c r="N11" s="1">
        <f>IF(ISERROR(FIND("RO",B11)),IF(ISERROR(FIND("CD",B11)),IF(ISERROR(FIND("CG",B11)),IF(ISERROR(FIND("AG",B11)),IF(ISERROR(FIND("RT",B11)),IF(ISERROR(FIND("RF",B11)),IF(ISERROR(FIND("AM",B11)),IF(ISERROR(FIND("RP",B11)),"","ROLO FORA DE POSIÇÃO"),"ACUMULO DE MATERIAL"),"ROLO FALTANTE"),"ROLETE TRAVADO"),"DESGASTE NATURAL"),"CILINDRO GASTO"),"DEGOLADO"),"ROLAMENTO DANIFICADO")</f>
        <v/>
      </c>
      <c r="O11" s="1" t="n">
        <v>11997051</v>
      </c>
      <c r="P11" s="2" t="n">
        <v>46073</v>
      </c>
    </row>
    <row r="12">
      <c r="A12" s="1" t="inlineStr">
        <is>
          <t>P1 - Urgência</t>
        </is>
      </c>
      <c r="B12" s="1" t="inlineStr">
        <is>
          <t>33-RC-A-RT</t>
        </is>
      </c>
      <c r="C12" s="1" t="inlineStr">
        <is>
          <t>11CV60</t>
        </is>
      </c>
      <c r="D12" s="1">
        <f>LEFT(B12,FIND("-",B12)-1)</f>
        <v/>
      </c>
      <c r="E12" s="1">
        <f>MID(B12,FIND("-",B12)+1,FIND("-",B12,FIND("-",B12)+1)-FIND("-",B12)-1)</f>
        <v/>
      </c>
      <c r="G12" s="1">
        <f>IF(ISERROR(FIND("-D-",B12)),"","X")</f>
        <v/>
      </c>
      <c r="H12" s="1">
        <f>IF(ISERROR(FIND("-C-",B12)),"","X")</f>
        <v/>
      </c>
      <c r="I12" s="1">
        <f>IF(ISERROR(FIND("-E-",B12)),"","X")</f>
        <v/>
      </c>
      <c r="K12" s="1">
        <f>IF(ISERROR(FIND("P1",A12)),"","X")</f>
        <v/>
      </c>
      <c r="L12" s="1">
        <f>IF(ISERROR(FIND("P2",A12)),"","X")</f>
        <v/>
      </c>
      <c r="M12" s="1">
        <f>IF(ISERROR(FIND("P3",A12)),"","X")</f>
        <v/>
      </c>
      <c r="N12" s="1">
        <f>IF(ISERROR(FIND("RO",B12)),IF(ISERROR(FIND("CD",B12)),IF(ISERROR(FIND("CG",B12)),IF(ISERROR(FIND("AG",B12)),IF(ISERROR(FIND("RT",B12)),IF(ISERROR(FIND("RF",B12)),IF(ISERROR(FIND("AM",B12)),IF(ISERROR(FIND("RP",B12)),"","ROLO FORA DE POSIÇÃO"),"ACUMULO DE MATERIAL"),"ROLO FALTANTE"),"ROLETE TRAVADO"),"DESGASTE NATURAL"),"CILINDRO GASTO"),"DEGOLADO"),"ROLAMENTO DANIFICADO")</f>
        <v/>
      </c>
      <c r="O12" s="1" t="n">
        <v>12006232</v>
      </c>
      <c r="P12" s="2" t="n">
        <v>46085</v>
      </c>
    </row>
    <row r="13">
      <c r="A13" s="1" t="inlineStr">
        <is>
          <t>P1 - Urgência</t>
        </is>
      </c>
      <c r="B13" s="1" t="inlineStr">
        <is>
          <t>34-RC-C-RF</t>
        </is>
      </c>
      <c r="C13" s="1" t="inlineStr">
        <is>
          <t>11CV60</t>
        </is>
      </c>
      <c r="D13" s="1">
        <f>LEFT(B13,FIND("-",B13)-1)</f>
        <v/>
      </c>
      <c r="E13" s="1">
        <f>MID(B13,FIND("-",B13)+1,FIND("-",B13,FIND("-",B13)+1)-FIND("-",B13)-1)</f>
        <v/>
      </c>
      <c r="G13" s="1">
        <f>IF(ISERROR(FIND("-D-",B13)),"","X")</f>
        <v/>
      </c>
      <c r="H13" s="1">
        <f>IF(ISERROR(FIND("-C-",B13)),"","X")</f>
        <v/>
      </c>
      <c r="I13" s="1">
        <f>IF(ISERROR(FIND("-E-",B13)),"","X")</f>
        <v/>
      </c>
      <c r="K13" s="1">
        <f>IF(ISERROR(FIND("P1",A13)),"","X")</f>
        <v/>
      </c>
      <c r="L13" s="1">
        <f>IF(ISERROR(FIND("P2",A13)),"","X")</f>
        <v/>
      </c>
      <c r="M13" s="1">
        <f>IF(ISERROR(FIND("P3",A13)),"","X")</f>
        <v/>
      </c>
      <c r="N13" s="1">
        <f>IF(ISERROR(FIND("RO",B13)),IF(ISERROR(FIND("CD",B13)),IF(ISERROR(FIND("CG",B13)),IF(ISERROR(FIND("AG",B13)),IF(ISERROR(FIND("RT",B13)),IF(ISERROR(FIND("RF",B13)),IF(ISERROR(FIND("AM",B13)),IF(ISERROR(FIND("RP",B13)),"","ROLO FORA DE POSIÇÃO"),"ACUMULO DE MATERIAL"),"ROLO FALTANTE"),"ROLETE TRAVADO"),"DESGASTE NATURAL"),"CILINDRO GASTO"),"DEGOLADO"),"ROLAMENTO DANIFICADO")</f>
        <v/>
      </c>
      <c r="O13" s="1" t="n">
        <v>12006228</v>
      </c>
      <c r="P13" s="2" t="n">
        <v>46085</v>
      </c>
    </row>
    <row r="14">
      <c r="A14" s="1" t="inlineStr">
        <is>
          <t>P1 - Urgência</t>
        </is>
      </c>
      <c r="B14" s="1" t="inlineStr">
        <is>
          <t>34-RC-C-RF</t>
        </is>
      </c>
      <c r="C14" s="1" t="inlineStr">
        <is>
          <t>11CV60</t>
        </is>
      </c>
      <c r="D14" s="1">
        <f>LEFT(B14,FIND("-",B14)-1)</f>
        <v/>
      </c>
      <c r="E14" s="1">
        <f>MID(B14,FIND("-",B14)+1,FIND("-",B14,FIND("-",B14)+1)-FIND("-",B14)-1)</f>
        <v/>
      </c>
      <c r="G14" s="1">
        <f>IF(ISERROR(FIND("-D-",B14)),"","X")</f>
        <v/>
      </c>
      <c r="H14" s="1">
        <f>IF(ISERROR(FIND("-C-",B14)),"","X")</f>
        <v/>
      </c>
      <c r="I14" s="1">
        <f>IF(ISERROR(FIND("-E-",B14)),"","X")</f>
        <v/>
      </c>
      <c r="K14" s="1">
        <f>IF(ISERROR(FIND("P1",A14)),"","X")</f>
        <v/>
      </c>
      <c r="L14" s="1">
        <f>IF(ISERROR(FIND("P2",A14)),"","X")</f>
        <v/>
      </c>
      <c r="M14" s="1">
        <f>IF(ISERROR(FIND("P3",A14)),"","X")</f>
        <v/>
      </c>
      <c r="N14" s="1">
        <f>IF(ISERROR(FIND("RO",B14)),IF(ISERROR(FIND("CD",B14)),IF(ISERROR(FIND("CG",B14)),IF(ISERROR(FIND("AG",B14)),IF(ISERROR(FIND("RT",B14)),IF(ISERROR(FIND("RF",B14)),IF(ISERROR(FIND("AM",B14)),IF(ISERROR(FIND("RP",B14)),"","ROLO FORA DE POSIÇÃO"),"ACUMULO DE MATERIAL"),"ROLO FALTANTE"),"ROLETE TRAVADO"),"DESGASTE NATURAL"),"CILINDRO GASTO"),"DEGOLADO"),"ROLAMENTO DANIFICADO")</f>
        <v/>
      </c>
      <c r="O14" s="1" t="n">
        <v>12006231</v>
      </c>
      <c r="P14" s="2" t="n">
        <v>46085</v>
      </c>
    </row>
    <row r="15">
      <c r="A15" s="1" t="inlineStr">
        <is>
          <t>P1 - Urgência</t>
        </is>
      </c>
      <c r="B15" s="1" t="inlineStr">
        <is>
          <t>35-RC-B-CG</t>
        </is>
      </c>
      <c r="C15" s="1" t="inlineStr">
        <is>
          <t>11CV60</t>
        </is>
      </c>
      <c r="D15" s="1">
        <f>LEFT(B15,FIND("-",B15)-1)</f>
        <v/>
      </c>
      <c r="E15" s="1">
        <f>MID(B15,FIND("-",B15)+1,FIND("-",B15,FIND("-",B15)+1)-FIND("-",B15)-1)</f>
        <v/>
      </c>
      <c r="G15" s="1">
        <f>IF(ISERROR(FIND("-D-",B15)),"","X")</f>
        <v/>
      </c>
      <c r="H15" s="1">
        <f>IF(ISERROR(FIND("-C-",B15)),"","X")</f>
        <v/>
      </c>
      <c r="I15" s="1">
        <f>IF(ISERROR(FIND("-E-",B15)),"","X")</f>
        <v/>
      </c>
      <c r="K15" s="1">
        <f>IF(ISERROR(FIND("P1",A15)),"","X")</f>
        <v/>
      </c>
      <c r="L15" s="1">
        <f>IF(ISERROR(FIND("P2",A15)),"","X")</f>
        <v/>
      </c>
      <c r="M15" s="1">
        <f>IF(ISERROR(FIND("P3",A15)),"","X")</f>
        <v/>
      </c>
      <c r="N15" s="1">
        <f>IF(ISERROR(FIND("RO",B15)),IF(ISERROR(FIND("CD",B15)),IF(ISERROR(FIND("CG",B15)),IF(ISERROR(FIND("AG",B15)),IF(ISERROR(FIND("RT",B15)),IF(ISERROR(FIND("RF",B15)),IF(ISERROR(FIND("AM",B15)),IF(ISERROR(FIND("RP",B15)),"","ROLO FORA DE POSIÇÃO"),"ACUMULO DE MATERIAL"),"ROLO FALTANTE"),"ROLETE TRAVADO"),"DESGASTE NATURAL"),"CILINDRO GASTO"),"DEGOLADO"),"ROLAMENTO DANIFICADO")</f>
        <v/>
      </c>
      <c r="O15" s="1" t="n">
        <v>11997050</v>
      </c>
      <c r="P15" s="2" t="n">
        <v>46073</v>
      </c>
    </row>
    <row r="16">
      <c r="A16" s="1" t="inlineStr">
        <is>
          <t>P1 - Urgência</t>
        </is>
      </c>
      <c r="B16" s="1" t="inlineStr">
        <is>
          <t>39-RC-A-CG</t>
        </is>
      </c>
      <c r="C16" s="1" t="inlineStr">
        <is>
          <t>11CV60</t>
        </is>
      </c>
      <c r="D16" s="1">
        <f>LEFT(B16,FIND("-",B16)-1)</f>
        <v/>
      </c>
      <c r="E16" s="1">
        <f>MID(B16,FIND("-",B16)+1,FIND("-",B16,FIND("-",B16)+1)-FIND("-",B16)-1)</f>
        <v/>
      </c>
      <c r="G16" s="1">
        <f>IF(ISERROR(FIND("-D-",B16)),"","X")</f>
        <v/>
      </c>
      <c r="H16" s="1">
        <f>IF(ISERROR(FIND("-C-",B16)),"","X")</f>
        <v/>
      </c>
      <c r="I16" s="1">
        <f>IF(ISERROR(FIND("-E-",B16)),"","X")</f>
        <v/>
      </c>
      <c r="K16" s="1">
        <f>IF(ISERROR(FIND("P1",A16)),"","X")</f>
        <v/>
      </c>
      <c r="L16" s="1">
        <f>IF(ISERROR(FIND("P2",A16)),"","X")</f>
        <v/>
      </c>
      <c r="M16" s="1">
        <f>IF(ISERROR(FIND("P3",A16)),"","X")</f>
        <v/>
      </c>
      <c r="N16" s="1">
        <f>IF(ISERROR(FIND("RO",B16)),IF(ISERROR(FIND("CD",B16)),IF(ISERROR(FIND("CG",B16)),IF(ISERROR(FIND("AG",B16)),IF(ISERROR(FIND("RT",B16)),IF(ISERROR(FIND("RF",B16)),IF(ISERROR(FIND("AM",B16)),IF(ISERROR(FIND("RP",B16)),"","ROLO FORA DE POSIÇÃO"),"ACUMULO DE MATERIAL"),"ROLO FALTANTE"),"ROLETE TRAVADO"),"DESGASTE NATURAL"),"CILINDRO GASTO"),"DEGOLADO"),"ROLAMENTO DANIFICADO")</f>
        <v/>
      </c>
      <c r="O16" s="1" t="n">
        <v>11984754</v>
      </c>
      <c r="P16" s="2" t="n">
        <v>46055</v>
      </c>
    </row>
    <row r="17">
      <c r="A17" s="1" t="inlineStr">
        <is>
          <t>P1 - Urgência</t>
        </is>
      </c>
      <c r="B17" s="1" t="inlineStr">
        <is>
          <t>41-RI-B-RT</t>
        </is>
      </c>
      <c r="C17" s="1" t="inlineStr">
        <is>
          <t>11CV60</t>
        </is>
      </c>
      <c r="D17" s="1">
        <f>LEFT(B17,FIND("-",B17)-1)</f>
        <v/>
      </c>
      <c r="E17" s="1">
        <f>MID(B17,FIND("-",B17)+1,FIND("-",B17,FIND("-",B17)+1)-FIND("-",B17)-1)</f>
        <v/>
      </c>
      <c r="G17" s="1">
        <f>IF(ISERROR(FIND("-D-",B17)),"","X")</f>
        <v/>
      </c>
      <c r="H17" s="1">
        <f>IF(ISERROR(FIND("-C-",B17)),"","X")</f>
        <v/>
      </c>
      <c r="I17" s="1">
        <f>IF(ISERROR(FIND("-E-",B17)),"","X")</f>
        <v/>
      </c>
      <c r="K17" s="1">
        <f>IF(ISERROR(FIND("P1",A17)),"","X")</f>
        <v/>
      </c>
      <c r="L17" s="1">
        <f>IF(ISERROR(FIND("P2",A17)),"","X")</f>
        <v/>
      </c>
      <c r="M17" s="1">
        <f>IF(ISERROR(FIND("P3",A17)),"","X")</f>
        <v/>
      </c>
      <c r="N17" s="1">
        <f>IF(ISERROR(FIND("RO",B17)),IF(ISERROR(FIND("CD",B17)),IF(ISERROR(FIND("CG",B17)),IF(ISERROR(FIND("AG",B17)),IF(ISERROR(FIND("RT",B17)),IF(ISERROR(FIND("RF",B17)),IF(ISERROR(FIND("AM",B17)),IF(ISERROR(FIND("RP",B17)),"","ROLO FORA DE POSIÇÃO"),"ACUMULO DE MATERIAL"),"ROLO FALTANTE"),"ROLETE TRAVADO"),"DESGASTE NATURAL"),"CILINDRO GASTO"),"DEGOLADO"),"ROLAMENTO DANIFICADO")</f>
        <v/>
      </c>
      <c r="O17" s="1" t="n">
        <v>11997052</v>
      </c>
      <c r="P17" s="2" t="n">
        <v>46073</v>
      </c>
    </row>
    <row r="19">
      <c r="A19" s="1" t="inlineStr">
        <is>
          <t>P1 - Urgência</t>
        </is>
      </c>
      <c r="B19" s="1" t="inlineStr">
        <is>
          <t>9-AR-E-CG</t>
        </is>
      </c>
      <c r="C19" s="1" t="inlineStr">
        <is>
          <t>11CV64</t>
        </is>
      </c>
      <c r="D19" s="1">
        <f>LEFT(B19,FIND("-",B19)-1)</f>
        <v/>
      </c>
      <c r="E19" s="1">
        <f>MID(B19,FIND("-",B19)+1,FIND("-",B19,FIND("-",B19)+1)-FIND("-",B19)-1)</f>
        <v/>
      </c>
      <c r="G19" s="1">
        <f>IF(ISERROR(FIND("-D-",B19)),"","X")</f>
        <v/>
      </c>
      <c r="H19" s="1">
        <f>IF(ISERROR(FIND("-C-",B19)),"","X")</f>
        <v/>
      </c>
      <c r="I19" s="1">
        <f>IF(ISERROR(FIND("-E-",B19)),"","X")</f>
        <v/>
      </c>
      <c r="K19" s="1">
        <f>IF(ISERROR(FIND("P1",A19)),"","X")</f>
        <v/>
      </c>
      <c r="L19" s="1">
        <f>IF(ISERROR(FIND("P2",A19)),"","X")</f>
        <v/>
      </c>
      <c r="M19" s="1">
        <f>IF(ISERROR(FIND("P3",A19)),"","X")</f>
        <v/>
      </c>
      <c r="N19" s="1">
        <f>IF(ISERROR(FIND("RO",B19)),IF(ISERROR(FIND("CD",B19)),IF(ISERROR(FIND("CG",B19)),IF(ISERROR(FIND("AG",B19)),IF(ISERROR(FIND("RT",B19)),IF(ISERROR(FIND("RF",B19)),IF(ISERROR(FIND("AM",B19)),IF(ISERROR(FIND("RP",B19)),"","ROLO FORA DE POSIÇÃO"),"ACUMULO DE MATERIAL"),"ROLO FALTANTE"),"ROLETE TRAVADO"),"DESGASTE NATURAL"),"CILINDRO GASTO"),"DEGOLADO"),"ROLAMENTO DANIFICADO")</f>
        <v/>
      </c>
      <c r="O19" s="1" t="n">
        <v>12006227</v>
      </c>
      <c r="P19" s="2" t="n">
        <v>46085</v>
      </c>
    </row>
    <row r="20">
      <c r="A20" s="1" t="inlineStr">
        <is>
          <t>P1 - Urgência</t>
        </is>
      </c>
      <c r="B20" s="1" t="inlineStr">
        <is>
          <t>33-RC-B-CG</t>
        </is>
      </c>
      <c r="C20" s="1" t="inlineStr">
        <is>
          <t>11CV64</t>
        </is>
      </c>
      <c r="D20" s="1">
        <f>LEFT(B20,FIND("-",B20)-1)</f>
        <v/>
      </c>
      <c r="E20" s="1">
        <f>MID(B20,FIND("-",B20)+1,FIND("-",B20,FIND("-",B20)+1)-FIND("-",B20)-1)</f>
        <v/>
      </c>
      <c r="G20" s="1">
        <f>IF(ISERROR(FIND("-D-",B20)),"","X")</f>
        <v/>
      </c>
      <c r="H20" s="1">
        <f>IF(ISERROR(FIND("-C-",B20)),"","X")</f>
        <v/>
      </c>
      <c r="I20" s="1">
        <f>IF(ISERROR(FIND("-E-",B20)),"","X")</f>
        <v/>
      </c>
      <c r="K20" s="1">
        <f>IF(ISERROR(FIND("P1",A20)),"","X")</f>
        <v/>
      </c>
      <c r="L20" s="1">
        <f>IF(ISERROR(FIND("P2",A20)),"","X")</f>
        <v/>
      </c>
      <c r="M20" s="1">
        <f>IF(ISERROR(FIND("P3",A20)),"","X")</f>
        <v/>
      </c>
      <c r="N20" s="1">
        <f>IF(ISERROR(FIND("RO",B20)),IF(ISERROR(FIND("CD",B20)),IF(ISERROR(FIND("CG",B20)),IF(ISERROR(FIND("AG",B20)),IF(ISERROR(FIND("RT",B20)),IF(ISERROR(FIND("RF",B20)),IF(ISERROR(FIND("AM",B20)),IF(ISERROR(FIND("RP",B20)),"","ROLO FORA DE POSIÇÃO"),"ACUMULO DE MATERIAL"),"ROLO FALTANTE"),"ROLETE TRAVADO"),"DESGASTE NATURAL"),"CILINDRO GASTO"),"DEGOLADO"),"ROLAMENTO DANIFICADO")</f>
        <v/>
      </c>
      <c r="O20" s="1" t="n">
        <v>12006230</v>
      </c>
      <c r="P20" s="2" t="n">
        <v>46085</v>
      </c>
    </row>
    <row r="21">
      <c r="A21" s="1" t="inlineStr">
        <is>
          <t>P1 - Urgência</t>
        </is>
      </c>
      <c r="B21" s="1" t="inlineStr">
        <is>
          <t>53-RR-A-RO</t>
        </is>
      </c>
      <c r="C21" s="1" t="inlineStr">
        <is>
          <t>11CV64</t>
        </is>
      </c>
      <c r="D21" s="1">
        <f>LEFT(B21,FIND("-",B21)-1)</f>
        <v/>
      </c>
      <c r="E21" s="1">
        <f>MID(B21,FIND("-",B21)+1,FIND("-",B21,FIND("-",B21)+1)-FIND("-",B21)-1)</f>
        <v/>
      </c>
      <c r="G21" s="1">
        <f>IF(ISERROR(FIND("-D-",B21)),"","X")</f>
        <v/>
      </c>
      <c r="H21" s="1">
        <f>IF(ISERROR(FIND("-C-",B21)),"","X")</f>
        <v/>
      </c>
      <c r="I21" s="1">
        <f>IF(ISERROR(FIND("-E-",B21)),"","X")</f>
        <v/>
      </c>
      <c r="K21" s="1">
        <f>IF(ISERROR(FIND("P1",A21)),"","X")</f>
        <v/>
      </c>
      <c r="L21" s="1">
        <f>IF(ISERROR(FIND("P2",A21)),"","X")</f>
        <v/>
      </c>
      <c r="M21" s="1">
        <f>IF(ISERROR(FIND("P3",A21)),"","X")</f>
        <v/>
      </c>
      <c r="N21" s="1">
        <f>IF(ISERROR(FIND("RO",B21)),IF(ISERROR(FIND("CD",B21)),IF(ISERROR(FIND("CG",B21)),IF(ISERROR(FIND("AG",B21)),IF(ISERROR(FIND("RT",B21)),IF(ISERROR(FIND("RF",B21)),IF(ISERROR(FIND("AM",B21)),IF(ISERROR(FIND("RP",B21)),"","ROLO FORA DE POSIÇÃO"),"ACUMULO DE MATERIAL"),"ROLO FALTANTE"),"ROLETE TRAVADO"),"DESGASTE NATURAL"),"CILINDRO GASTO"),"DEGOLADO"),"ROLAMENTO DANIFICADO")</f>
        <v/>
      </c>
      <c r="O21" s="1" t="n">
        <v>12006226</v>
      </c>
      <c r="P21" s="2" t="n">
        <v>46085</v>
      </c>
    </row>
    <row r="23">
      <c r="A23" s="1" t="inlineStr">
        <is>
          <t>P1 - Urgência</t>
        </is>
      </c>
      <c r="B23" s="1" t="inlineStr">
        <is>
          <t>011-RC-D-RT</t>
        </is>
      </c>
      <c r="C23" s="1" t="inlineStr">
        <is>
          <t>11CR12</t>
        </is>
      </c>
      <c r="D23" s="1">
        <f>LEFT(B23,FIND("-",B23)-1)</f>
        <v/>
      </c>
      <c r="E23" s="1">
        <f>MID(B23,FIND("-",B23)+1,FIND("-",B23,FIND("-",B23)+1)-FIND("-",B23)-1)</f>
        <v/>
      </c>
      <c r="G23" s="1">
        <f>IF(ISERROR(FIND("-D-",B23)),"","X")</f>
        <v/>
      </c>
      <c r="H23" s="1">
        <f>IF(ISERROR(FIND("-C-",B23)),"","X")</f>
        <v/>
      </c>
      <c r="I23" s="1">
        <f>IF(ISERROR(FIND("-E-",B23)),"","X")</f>
        <v/>
      </c>
      <c r="K23" s="1">
        <f>IF(ISERROR(FIND("P1",A23)),"","X")</f>
        <v/>
      </c>
      <c r="L23" s="1">
        <f>IF(ISERROR(FIND("P2",A23)),"","X")</f>
        <v/>
      </c>
      <c r="M23" s="1">
        <f>IF(ISERROR(FIND("P3",A23)),"","X")</f>
        <v/>
      </c>
      <c r="N23" s="1">
        <f>IF(ISERROR(FIND("RO",B23)),IF(ISERROR(FIND("CD",B23)),IF(ISERROR(FIND("CG",B23)),IF(ISERROR(FIND("AG",B23)),IF(ISERROR(FIND("RT",B23)),IF(ISERROR(FIND("RF",B23)),IF(ISERROR(FIND("AM",B23)),IF(ISERROR(FIND("RP",B23)),"","ROLO FORA DE POSIÇÃO"),"ACUMULO DE MATERIAL"),"ROLO FALTANTE"),"ROLETE TRAVADO"),"DESGASTE NATURAL"),"CILINDRO GASTO"),"DEGOLADO"),"ROLAMENTO DANIFICADO")</f>
        <v/>
      </c>
      <c r="O23" s="1" t="n">
        <v>11993166</v>
      </c>
      <c r="P23" s="2" t="n">
        <v>46065</v>
      </c>
    </row>
    <row r="25">
      <c r="A25" s="1" t="inlineStr">
        <is>
          <t>P1 - Urgência</t>
        </is>
      </c>
      <c r="B25" s="1" t="inlineStr">
        <is>
          <t>44-RR-B-CG</t>
        </is>
      </c>
      <c r="C25" s="1" t="inlineStr">
        <is>
          <t>11CV72</t>
        </is>
      </c>
      <c r="D25" s="1">
        <f>LEFT(B25,FIND("-",B25)-1)</f>
        <v/>
      </c>
      <c r="E25" s="1">
        <f>MID(B25,FIND("-",B25)+1,FIND("-",B25,FIND("-",B25)+1)-FIND("-",B25)-1)</f>
        <v/>
      </c>
      <c r="G25" s="1">
        <f>IF(ISERROR(FIND("-D-",B25)),"","X")</f>
        <v/>
      </c>
      <c r="H25" s="1">
        <f>IF(ISERROR(FIND("-C-",B25)),"","X")</f>
        <v/>
      </c>
      <c r="I25" s="1">
        <f>IF(ISERROR(FIND("-E-",B25)),"","X")</f>
        <v/>
      </c>
      <c r="K25" s="1">
        <f>IF(ISERROR(FIND("P1",A25)),"","X")</f>
        <v/>
      </c>
      <c r="L25" s="1">
        <f>IF(ISERROR(FIND("P2",A25)),"","X")</f>
        <v/>
      </c>
      <c r="M25" s="1">
        <f>IF(ISERROR(FIND("P3",A25)),"","X")</f>
        <v/>
      </c>
      <c r="N25" s="1">
        <f>IF(ISERROR(FIND("RO",B25)),IF(ISERROR(FIND("CD",B25)),IF(ISERROR(FIND("CG",B25)),IF(ISERROR(FIND("AG",B25)),IF(ISERROR(FIND("RT",B25)),IF(ISERROR(FIND("RF",B25)),IF(ISERROR(FIND("AM",B25)),IF(ISERROR(FIND("RP",B25)),"","ROLO FORA DE POSIÇÃO"),"ACUMULO DE MATERIAL"),"ROLO FALTANTE"),"ROLETE TRAVADO"),"DESGASTE NATURAL"),"CILINDRO GASTO"),"DEGOLADO"),"ROLAMENTO DANIFICADO")</f>
        <v/>
      </c>
      <c r="O25" s="1" t="n">
        <v>12010309</v>
      </c>
      <c r="P25" s="2" t="n">
        <v>46090</v>
      </c>
    </row>
    <row r="26">
      <c r="A26" s="1" t="inlineStr">
        <is>
          <t>P1 - Urgência</t>
        </is>
      </c>
      <c r="B26" s="1" t="inlineStr">
        <is>
          <t>47-RR-A-RT</t>
        </is>
      </c>
      <c r="C26" s="1" t="inlineStr">
        <is>
          <t>11CV72</t>
        </is>
      </c>
      <c r="D26" s="1">
        <f>LEFT(B26,FIND("-",B26)-1)</f>
        <v/>
      </c>
      <c r="E26" s="1">
        <f>MID(B26,FIND("-",B26)+1,FIND("-",B26,FIND("-",B26)+1)-FIND("-",B26)-1)</f>
        <v/>
      </c>
      <c r="G26" s="1">
        <f>IF(ISERROR(FIND("-D-",B26)),"","X")</f>
        <v/>
      </c>
      <c r="H26" s="1">
        <f>IF(ISERROR(FIND("-C-",B26)),"","X")</f>
        <v/>
      </c>
      <c r="I26" s="1">
        <f>IF(ISERROR(FIND("-E-",B26)),"","X")</f>
        <v/>
      </c>
      <c r="K26" s="1">
        <f>IF(ISERROR(FIND("P1",A26)),"","X")</f>
        <v/>
      </c>
      <c r="L26" s="1">
        <f>IF(ISERROR(FIND("P2",A26)),"","X")</f>
        <v/>
      </c>
      <c r="M26" s="1">
        <f>IF(ISERROR(FIND("P3",A26)),"","X")</f>
        <v/>
      </c>
      <c r="N26" s="1">
        <f>IF(ISERROR(FIND("RO",B26)),IF(ISERROR(FIND("CD",B26)),IF(ISERROR(FIND("CG",B26)),IF(ISERROR(FIND("AG",B26)),IF(ISERROR(FIND("RT",B26)),IF(ISERROR(FIND("RF",B26)),IF(ISERROR(FIND("AM",B26)),IF(ISERROR(FIND("RP",B26)),"","ROLO FORA DE POSIÇÃO"),"ACUMULO DE MATERIAL"),"ROLO FALTANTE"),"ROLETE TRAVADO"),"DESGASTE NATURAL"),"CILINDRO GASTO"),"DEGOLADO"),"ROLAMENTO DANIFICADO")</f>
        <v/>
      </c>
      <c r="O26" s="1" t="n">
        <v>12010307</v>
      </c>
      <c r="P26" s="2" t="n">
        <v>46090</v>
      </c>
    </row>
    <row r="28">
      <c r="A28" s="1" t="inlineStr">
        <is>
          <t>P1 - Urgência</t>
        </is>
      </c>
      <c r="B28" s="1" t="inlineStr">
        <is>
          <t>15-GR-E-RF</t>
        </is>
      </c>
      <c r="C28" s="1" t="inlineStr">
        <is>
          <t>11CR05</t>
        </is>
      </c>
      <c r="D28" s="1">
        <f>LEFT(B28,FIND("-",B28)-1)</f>
        <v/>
      </c>
      <c r="E28" s="1">
        <f>MID(B28,FIND("-",B28)+1,FIND("-",B28,FIND("-",B28)+1)-FIND("-",B28)-1)</f>
        <v/>
      </c>
      <c r="G28" s="1">
        <f>IF(ISERROR(FIND("-D-",B28)),"","X")</f>
        <v/>
      </c>
      <c r="H28" s="1">
        <f>IF(ISERROR(FIND("-C-",B28)),"","X")</f>
        <v/>
      </c>
      <c r="I28" s="1">
        <f>IF(ISERROR(FIND("-E-",B28)),"","X")</f>
        <v/>
      </c>
      <c r="K28" s="1">
        <f>IF(ISERROR(FIND("P1",A28)),"","X")</f>
        <v/>
      </c>
      <c r="L28" s="1">
        <f>IF(ISERROR(FIND("P2",A28)),"","X")</f>
        <v/>
      </c>
      <c r="M28" s="1">
        <f>IF(ISERROR(FIND("P3",A28)),"","X")</f>
        <v/>
      </c>
      <c r="N28" s="1">
        <f>IF(ISERROR(FIND("RO",B28)),IF(ISERROR(FIND("CD",B28)),IF(ISERROR(FIND("CG",B28)),IF(ISERROR(FIND("AG",B28)),IF(ISERROR(FIND("RT",B28)),IF(ISERROR(FIND("RF",B28)),IF(ISERROR(FIND("AM",B28)),IF(ISERROR(FIND("RP",B28)),"","ROLO FORA DE POSIÇÃO"),"ACUMULO DE MATERIAL"),"ROLO FALTANTE"),"ROLETE TRAVADO"),"DESGASTE NATURAL"),"CILINDRO GASTO"),"DEGOLADO"),"ROLAMENTO DANIFICADO")</f>
        <v/>
      </c>
      <c r="O28" s="1" t="n">
        <v>12004665</v>
      </c>
      <c r="P28" s="2" t="n">
        <v>46083</v>
      </c>
    </row>
    <row r="30">
      <c r="A30" s="1" t="inlineStr">
        <is>
          <t>P1 - Urgência</t>
        </is>
      </c>
      <c r="B30" s="1" t="inlineStr">
        <is>
          <t>11-RC-D-RF</t>
        </is>
      </c>
      <c r="C30" s="1" t="inlineStr">
        <is>
          <t>11CR19</t>
        </is>
      </c>
      <c r="D30" s="1">
        <f>LEFT(B30,FIND("-",B30)-1)</f>
        <v/>
      </c>
      <c r="E30" s="1">
        <f>MID(B30,FIND("-",B30)+1,FIND("-",B30,FIND("-",B30)+1)-FIND("-",B30)-1)</f>
        <v/>
      </c>
      <c r="G30" s="1">
        <f>IF(ISERROR(FIND("-D-",B30)),"","X")</f>
        <v/>
      </c>
      <c r="H30" s="1">
        <f>IF(ISERROR(FIND("-C-",B30)),"","X")</f>
        <v/>
      </c>
      <c r="I30" s="1">
        <f>IF(ISERROR(FIND("-E-",B30)),"","X")</f>
        <v/>
      </c>
      <c r="K30" s="1">
        <f>IF(ISERROR(FIND("P1",A30)),"","X")</f>
        <v/>
      </c>
      <c r="L30" s="1">
        <f>IF(ISERROR(FIND("P2",A30)),"","X")</f>
        <v/>
      </c>
      <c r="M30" s="1">
        <f>IF(ISERROR(FIND("P3",A30)),"","X")</f>
        <v/>
      </c>
      <c r="N30" s="1">
        <f>IF(ISERROR(FIND("RO",B30)),IF(ISERROR(FIND("CD",B30)),IF(ISERROR(FIND("CG",B30)),IF(ISERROR(FIND("AG",B30)),IF(ISERROR(FIND("RT",B30)),IF(ISERROR(FIND("RF",B30)),IF(ISERROR(FIND("AM",B30)),IF(ISERROR(FIND("RP",B30)),"","ROLO FORA DE POSIÇÃO"),"ACUMULO DE MATERIAL"),"ROLO FALTANTE"),"ROLETE TRAVADO"),"DESGASTE NATURAL"),"CILINDRO GASTO"),"DEGOLADO"),"ROLAMENTO DANIFICADO")</f>
        <v/>
      </c>
      <c r="O30" s="1" t="n">
        <v>12003002</v>
      </c>
      <c r="P30" s="2" t="n">
        <v>46080</v>
      </c>
    </row>
    <row r="31">
      <c r="A31" s="1" t="inlineStr">
        <is>
          <t>P1 - Urgência</t>
        </is>
      </c>
      <c r="B31" s="1" t="inlineStr">
        <is>
          <t>12-RC-E-RO</t>
        </is>
      </c>
      <c r="C31" s="1" t="inlineStr">
        <is>
          <t>11CR19</t>
        </is>
      </c>
      <c r="D31" s="1">
        <f>LEFT(B31,FIND("-",B31)-1)</f>
        <v/>
      </c>
      <c r="E31" s="1">
        <f>MID(B31,FIND("-",B31)+1,FIND("-",B31,FIND("-",B31)+1)-FIND("-",B31)-1)</f>
        <v/>
      </c>
      <c r="G31" s="1">
        <f>IF(ISERROR(FIND("-D-",B31)),"","X")</f>
        <v/>
      </c>
      <c r="H31" s="1">
        <f>IF(ISERROR(FIND("-C-",B31)),"","X")</f>
        <v/>
      </c>
      <c r="I31" s="1">
        <f>IF(ISERROR(FIND("-E-",B31)),"","X")</f>
        <v/>
      </c>
      <c r="K31" s="1">
        <f>IF(ISERROR(FIND("P1",A31)),"","X")</f>
        <v/>
      </c>
      <c r="L31" s="1">
        <f>IF(ISERROR(FIND("P2",A31)),"","X")</f>
        <v/>
      </c>
      <c r="M31" s="1">
        <f>IF(ISERROR(FIND("P3",A31)),"","X")</f>
        <v/>
      </c>
      <c r="N31" s="1">
        <f>IF(ISERROR(FIND("RO",B31)),IF(ISERROR(FIND("CD",B31)),IF(ISERROR(FIND("CG",B31)),IF(ISERROR(FIND("AG",B31)),IF(ISERROR(FIND("RT",B31)),IF(ISERROR(FIND("RF",B31)),IF(ISERROR(FIND("AM",B31)),IF(ISERROR(FIND("RP",B31)),"","ROLO FORA DE POSIÇÃO"),"ACUMULO DE MATERIAL"),"ROLO FALTANTE"),"ROLETE TRAVADO"),"DESGASTE NATURAL"),"CILINDRO GASTO"),"DEGOLADO"),"ROLAMENTO DANIFICADO")</f>
        <v/>
      </c>
      <c r="O31" s="1" t="n">
        <v>12004648</v>
      </c>
      <c r="P31" s="2" t="n">
        <v>46083</v>
      </c>
    </row>
    <row r="33">
      <c r="A33" s="1" t="inlineStr">
        <is>
          <t>P1 - Urgência</t>
        </is>
      </c>
      <c r="B33" s="1" t="inlineStr">
        <is>
          <t>10-GR-D-RO</t>
        </is>
      </c>
      <c r="C33" s="1" t="inlineStr">
        <is>
          <t>11CV07</t>
        </is>
      </c>
      <c r="D33" s="1">
        <f>LEFT(B33,FIND("-",B33)-1)</f>
        <v/>
      </c>
      <c r="E33" s="1">
        <f>MID(B33,FIND("-",B33)+1,FIND("-",B33,FIND("-",B33)+1)-FIND("-",B33)-1)</f>
        <v/>
      </c>
      <c r="G33" s="1">
        <f>IF(ISERROR(FIND("-D-",B33)),"","X")</f>
        <v/>
      </c>
      <c r="H33" s="1">
        <f>IF(ISERROR(FIND("-C-",B33)),"","X")</f>
        <v/>
      </c>
      <c r="I33" s="1">
        <f>IF(ISERROR(FIND("-E-",B33)),"","X")</f>
        <v/>
      </c>
      <c r="K33" s="1">
        <f>IF(ISERROR(FIND("P1",A33)),"","X")</f>
        <v/>
      </c>
      <c r="L33" s="1">
        <f>IF(ISERROR(FIND("P2",A33)),"","X")</f>
        <v/>
      </c>
      <c r="M33" s="1">
        <f>IF(ISERROR(FIND("P3",A33)),"","X")</f>
        <v/>
      </c>
      <c r="N33" s="1">
        <f>IF(ISERROR(FIND("RO",B33)),IF(ISERROR(FIND("CD",B33)),IF(ISERROR(FIND("CG",B33)),IF(ISERROR(FIND("AG",B33)),IF(ISERROR(FIND("RT",B33)),IF(ISERROR(FIND("RF",B33)),IF(ISERROR(FIND("AM",B33)),IF(ISERROR(FIND("RP",B33)),"","ROLO FORA DE POSIÇÃO"),"ACUMULO DE MATERIAL"),"ROLO FALTANTE"),"ROLETE TRAVADO"),"DESGASTE NATURAL"),"CILINDRO GASTO"),"DEGOLADO"),"ROLAMENTO DANIFICADO")</f>
        <v/>
      </c>
      <c r="O33" s="1" t="n">
        <v>12008471</v>
      </c>
      <c r="P33" s="2" t="n">
        <v>46087</v>
      </c>
    </row>
    <row r="35">
      <c r="A35" s="1" t="inlineStr">
        <is>
          <t>P1 - Urgência</t>
        </is>
      </c>
      <c r="B35" s="1" t="inlineStr">
        <is>
          <t>25-RC-C-RO</t>
        </is>
      </c>
      <c r="C35" s="1" t="inlineStr">
        <is>
          <t>11CV67</t>
        </is>
      </c>
      <c r="D35" s="1">
        <f>LEFT(B35,FIND("-",B35)-1)</f>
        <v/>
      </c>
      <c r="E35" s="1">
        <f>MID(B35,FIND("-",B35)+1,FIND("-",B35,FIND("-",B35)+1)-FIND("-",B35)-1)</f>
        <v/>
      </c>
      <c r="G35" s="1">
        <f>IF(ISERROR(FIND("-D-",B35)),"","X")</f>
        <v/>
      </c>
      <c r="H35" s="1">
        <f>IF(ISERROR(FIND("-C-",B35)),"","X")</f>
        <v/>
      </c>
      <c r="I35" s="1">
        <f>IF(ISERROR(FIND("-E-",B35)),"","X")</f>
        <v/>
      </c>
      <c r="K35" s="1">
        <f>IF(ISERROR(FIND("P1",A35)),"","X")</f>
        <v/>
      </c>
      <c r="L35" s="1">
        <f>IF(ISERROR(FIND("P2",A35)),"","X")</f>
        <v/>
      </c>
      <c r="M35" s="1">
        <f>IF(ISERROR(FIND("P3",A35)),"","X")</f>
        <v/>
      </c>
      <c r="N35" s="1">
        <f>IF(ISERROR(FIND("RO",B35)),IF(ISERROR(FIND("CD",B35)),IF(ISERROR(FIND("CG",B35)),IF(ISERROR(FIND("AG",B35)),IF(ISERROR(FIND("RT",B35)),IF(ISERROR(FIND("RF",B35)),IF(ISERROR(FIND("AM",B35)),IF(ISERROR(FIND("RP",B35)),"","ROLO FORA DE POSIÇÃO"),"ACUMULO DE MATERIAL"),"ROLO FALTANTE"),"ROLETE TRAVADO"),"DESGASTE NATURAL"),"CILINDRO GASTO"),"DEGOLADO"),"ROLAMENTO DANIFICADO")</f>
        <v/>
      </c>
      <c r="O35" s="1" t="n">
        <v>12008470</v>
      </c>
      <c r="P35" s="2" t="n">
        <v>46087</v>
      </c>
    </row>
    <row r="37">
      <c r="A37" s="1" t="inlineStr">
        <is>
          <t>P1 - Urgência</t>
        </is>
      </c>
      <c r="B37" s="1" t="inlineStr">
        <is>
          <t>38-GR-E-CG</t>
        </is>
      </c>
      <c r="C37" s="1" t="inlineStr">
        <is>
          <t>11CV68</t>
        </is>
      </c>
      <c r="D37" s="1">
        <f>LEFT(B37,FIND("-",B37)-1)</f>
        <v/>
      </c>
      <c r="E37" s="1">
        <f>MID(B37,FIND("-",B37)+1,FIND("-",B37,FIND("-",B37)+1)-FIND("-",B37)-1)</f>
        <v/>
      </c>
      <c r="G37" s="1">
        <f>IF(ISERROR(FIND("-D-",B37)),"","X")</f>
        <v/>
      </c>
      <c r="H37" s="1">
        <f>IF(ISERROR(FIND("-C-",B37)),"","X")</f>
        <v/>
      </c>
      <c r="I37" s="1">
        <f>IF(ISERROR(FIND("-E-",B37)),"","X")</f>
        <v/>
      </c>
      <c r="K37" s="1">
        <f>IF(ISERROR(FIND("P1",A37)),"","X")</f>
        <v/>
      </c>
      <c r="L37" s="1">
        <f>IF(ISERROR(FIND("P2",A37)),"","X")</f>
        <v/>
      </c>
      <c r="M37" s="1">
        <f>IF(ISERROR(FIND("P3",A37)),"","X")</f>
        <v/>
      </c>
      <c r="N37" s="1">
        <f>IF(ISERROR(FIND("RO",B37)),IF(ISERROR(FIND("CD",B37)),IF(ISERROR(FIND("CG",B37)),IF(ISERROR(FIND("AG",B37)),IF(ISERROR(FIND("RT",B37)),IF(ISERROR(FIND("RF",B37)),IF(ISERROR(FIND("AM",B37)),IF(ISERROR(FIND("RP",B37)),"","ROLO FORA DE POSIÇÃO"),"ACUMULO DE MATERIAL"),"ROLO FALTANTE"),"ROLETE TRAVADO"),"DESGASTE NATURAL"),"CILINDRO GASTO"),"DEGOLADO"),"ROLAMENTO DANIFICADO")</f>
        <v/>
      </c>
      <c r="O37" s="1" t="n">
        <v>11991542</v>
      </c>
      <c r="P37" s="2" t="n">
        <v>46064</v>
      </c>
    </row>
    <row r="39">
      <c r="A39" s="1" t="inlineStr">
        <is>
          <t>P1 - Urgência</t>
        </is>
      </c>
      <c r="B39" s="1" t="inlineStr">
        <is>
          <t>31-RI-E-RO</t>
        </is>
      </c>
      <c r="C39" s="1" t="inlineStr">
        <is>
          <t>11CV69</t>
        </is>
      </c>
      <c r="D39" s="1">
        <f>LEFT(B39,FIND("-",B39)-1)</f>
        <v/>
      </c>
      <c r="E39" s="1">
        <f>MID(B39,FIND("-",B39)+1,FIND("-",B39,FIND("-",B39)+1)-FIND("-",B39)-1)</f>
        <v/>
      </c>
      <c r="G39" s="1">
        <f>IF(ISERROR(FIND("-D-",B39)),"","X")</f>
        <v/>
      </c>
      <c r="H39" s="1">
        <f>IF(ISERROR(FIND("-C-",B39)),"","X")</f>
        <v/>
      </c>
      <c r="I39" s="1">
        <f>IF(ISERROR(FIND("-E-",B39)),"","X")</f>
        <v/>
      </c>
      <c r="K39" s="1">
        <f>IF(ISERROR(FIND("P1",A39)),"","X")</f>
        <v/>
      </c>
      <c r="L39" s="1">
        <f>IF(ISERROR(FIND("P2",A39)),"","X")</f>
        <v/>
      </c>
      <c r="M39" s="1">
        <f>IF(ISERROR(FIND("P3",A39)),"","X")</f>
        <v/>
      </c>
      <c r="N39" s="1">
        <f>IF(ISERROR(FIND("RO",B39)),IF(ISERROR(FIND("CD",B39)),IF(ISERROR(FIND("CG",B39)),IF(ISERROR(FIND("AG",B39)),IF(ISERROR(FIND("RT",B39)),IF(ISERROR(FIND("RF",B39)),IF(ISERROR(FIND("AM",B39)),IF(ISERROR(FIND("RP",B39)),"","ROLO FORA DE POSIÇÃO"),"ACUMULO DE MATERIAL"),"ROLO FALTANTE"),"ROLETE TRAVADO"),"DESGASTE NATURAL"),"CILINDRO GASTO"),"DEGOLADO"),"ROLAMENTO DANIFICADO")</f>
        <v/>
      </c>
      <c r="O39" s="1" t="n">
        <v>11982704</v>
      </c>
      <c r="P39" s="2" t="n">
        <v>46052</v>
      </c>
    </row>
    <row r="40">
      <c r="A40" s="1" t="inlineStr">
        <is>
          <t>P1 - Urgência</t>
        </is>
      </c>
      <c r="B40" s="1" t="inlineStr">
        <is>
          <t>31-RI-E-RO</t>
        </is>
      </c>
      <c r="C40" s="1" t="inlineStr">
        <is>
          <t>11CV69</t>
        </is>
      </c>
      <c r="D40" s="1">
        <f>LEFT(B40,FIND("-",B40)-1)</f>
        <v/>
      </c>
      <c r="E40" s="1">
        <f>MID(B40,FIND("-",B40)+1,FIND("-",B40,FIND("-",B40)+1)-FIND("-",B40)-1)</f>
        <v/>
      </c>
      <c r="G40" s="1">
        <f>IF(ISERROR(FIND("-D-",B40)),"","X")</f>
        <v/>
      </c>
      <c r="H40" s="1">
        <f>IF(ISERROR(FIND("-C-",B40)),"","X")</f>
        <v/>
      </c>
      <c r="I40" s="1">
        <f>IF(ISERROR(FIND("-E-",B40)),"","X")</f>
        <v/>
      </c>
      <c r="K40" s="1">
        <f>IF(ISERROR(FIND("P1",A40)),"","X")</f>
        <v/>
      </c>
      <c r="L40" s="1">
        <f>IF(ISERROR(FIND("P2",A40)),"","X")</f>
        <v/>
      </c>
      <c r="M40" s="1">
        <f>IF(ISERROR(FIND("P3",A40)),"","X")</f>
        <v/>
      </c>
      <c r="N40" s="1">
        <f>IF(ISERROR(FIND("RO",B40)),IF(ISERROR(FIND("CD",B40)),IF(ISERROR(FIND("CG",B40)),IF(ISERROR(FIND("AG",B40)),IF(ISERROR(FIND("RT",B40)),IF(ISERROR(FIND("RF",B40)),IF(ISERROR(FIND("AM",B40)),IF(ISERROR(FIND("RP",B40)),"","ROLO FORA DE POSIÇÃO"),"ACUMULO DE MATERIAL"),"ROLO FALTANTE"),"ROLETE TRAVADO"),"DESGASTE NATURAL"),"CILINDRO GASTO"),"DEGOLADO"),"ROLAMENTO DANIFICADO")</f>
        <v/>
      </c>
      <c r="O40" s="1" t="n">
        <v>11986510</v>
      </c>
      <c r="P40" s="2" t="n">
        <v>46057</v>
      </c>
    </row>
    <row r="41">
      <c r="A41" s="1" t="inlineStr">
        <is>
          <t>P1 - Urgência</t>
        </is>
      </c>
      <c r="B41" s="1" t="inlineStr">
        <is>
          <t>50-RR-A-RO</t>
        </is>
      </c>
      <c r="C41" s="1" t="inlineStr">
        <is>
          <t>11CV69</t>
        </is>
      </c>
      <c r="D41" s="1">
        <f>LEFT(B41,FIND("-",B41)-1)</f>
        <v/>
      </c>
      <c r="E41" s="1">
        <f>MID(B41,FIND("-",B41)+1,FIND("-",B41,FIND("-",B41)+1)-FIND("-",B41)-1)</f>
        <v/>
      </c>
      <c r="G41" s="1">
        <f>IF(ISERROR(FIND("-D-",B41)),"","X")</f>
        <v/>
      </c>
      <c r="H41" s="1">
        <f>IF(ISERROR(FIND("-C-",B41)),"","X")</f>
        <v/>
      </c>
      <c r="I41" s="1">
        <f>IF(ISERROR(FIND("-E-",B41)),"","X")</f>
        <v/>
      </c>
      <c r="K41" s="1">
        <f>IF(ISERROR(FIND("P1",A41)),"","X")</f>
        <v/>
      </c>
      <c r="L41" s="1">
        <f>IF(ISERROR(FIND("P2",A41)),"","X")</f>
        <v/>
      </c>
      <c r="M41" s="1">
        <f>IF(ISERROR(FIND("P3",A41)),"","X")</f>
        <v/>
      </c>
      <c r="N41" s="1">
        <f>IF(ISERROR(FIND("RO",B41)),IF(ISERROR(FIND("CD",B41)),IF(ISERROR(FIND("CG",B41)),IF(ISERROR(FIND("AG",B41)),IF(ISERROR(FIND("RT",B41)),IF(ISERROR(FIND("RF",B41)),IF(ISERROR(FIND("AM",B41)),IF(ISERROR(FIND("RP",B41)),"","ROLO FORA DE POSIÇÃO"),"ACUMULO DE MATERIAL"),"ROLO FALTANTE"),"ROLETE TRAVADO"),"DESGASTE NATURAL"),"CILINDRO GASTO"),"DEGOLADO"),"ROLAMENTO DANIFICADO")</f>
        <v/>
      </c>
      <c r="O41" s="1" t="n">
        <v>11995414</v>
      </c>
      <c r="P41" s="2" t="n">
        <v>46072</v>
      </c>
    </row>
    <row r="43">
      <c r="A43" s="1" t="inlineStr">
        <is>
          <t>P1 - Urgência</t>
        </is>
      </c>
      <c r="B43" s="1" t="inlineStr">
        <is>
          <t>13-RC-D-CG</t>
        </is>
      </c>
      <c r="C43" s="1" t="inlineStr">
        <is>
          <t>11LL09</t>
        </is>
      </c>
      <c r="D43" s="1">
        <f>LEFT(B43,FIND("-",B43)-1)</f>
        <v/>
      </c>
      <c r="E43" s="1">
        <f>MID(B43,FIND("-",B43)+1,FIND("-",B43,FIND("-",B43)+1)-FIND("-",B43)-1)</f>
        <v/>
      </c>
      <c r="G43" s="1">
        <f>IF(ISERROR(FIND("-D-",B43)),"","X")</f>
        <v/>
      </c>
      <c r="H43" s="1">
        <f>IF(ISERROR(FIND("-C-",B43)),"","X")</f>
        <v/>
      </c>
      <c r="I43" s="1">
        <f>IF(ISERROR(FIND("-E-",B43)),"","X")</f>
        <v/>
      </c>
      <c r="K43" s="1">
        <f>IF(ISERROR(FIND("P1",A43)),"","X")</f>
        <v/>
      </c>
      <c r="L43" s="1">
        <f>IF(ISERROR(FIND("P2",A43)),"","X")</f>
        <v/>
      </c>
      <c r="M43" s="1">
        <f>IF(ISERROR(FIND("P3",A43)),"","X")</f>
        <v/>
      </c>
      <c r="N43" s="1">
        <f>IF(ISERROR(FIND("RO",B43)),IF(ISERROR(FIND("CD",B43)),IF(ISERROR(FIND("CG",B43)),IF(ISERROR(FIND("AG",B43)),IF(ISERROR(FIND("RT",B43)),IF(ISERROR(FIND("RF",B43)),IF(ISERROR(FIND("AM",B43)),IF(ISERROR(FIND("RP",B43)),"","ROLO FORA DE POSIÇÃO"),"ACUMULO DE MATERIAL"),"ROLO FALTANTE"),"ROLETE TRAVADO"),"DESGASTE NATURAL"),"CILINDRO GASTO"),"DEGOLADO"),"ROLAMENTO DANIFICADO")</f>
        <v/>
      </c>
      <c r="O43" s="1" t="n">
        <v>12008472</v>
      </c>
      <c r="P43" s="2" t="n">
        <v>46087</v>
      </c>
    </row>
    <row r="44">
      <c r="A44" s="1" t="inlineStr">
        <is>
          <t>P1 - Urgência</t>
        </is>
      </c>
      <c r="B44" s="1" t="inlineStr">
        <is>
          <t>21-RC-D-RO</t>
        </is>
      </c>
      <c r="C44" s="1" t="inlineStr">
        <is>
          <t>11LL09</t>
        </is>
      </c>
      <c r="D44" s="1">
        <f>LEFT(B44,FIND("-",B44)-1)</f>
        <v/>
      </c>
      <c r="E44" s="1">
        <f>MID(B44,FIND("-",B44)+1,FIND("-",B44,FIND("-",B44)+1)-FIND("-",B44)-1)</f>
        <v/>
      </c>
      <c r="G44" s="1">
        <f>IF(ISERROR(FIND("-D-",B44)),"","X")</f>
        <v/>
      </c>
      <c r="H44" s="1">
        <f>IF(ISERROR(FIND("-C-",B44)),"","X")</f>
        <v/>
      </c>
      <c r="I44" s="1">
        <f>IF(ISERROR(FIND("-E-",B44)),"","X")</f>
        <v/>
      </c>
      <c r="K44" s="1">
        <f>IF(ISERROR(FIND("P1",A44)),"","X")</f>
        <v/>
      </c>
      <c r="L44" s="1">
        <f>IF(ISERROR(FIND("P2",A44)),"","X")</f>
        <v/>
      </c>
      <c r="M44" s="1">
        <f>IF(ISERROR(FIND("P3",A44)),"","X")</f>
        <v/>
      </c>
      <c r="N44" s="1">
        <f>IF(ISERROR(FIND("RO",B44)),IF(ISERROR(FIND("CD",B44)),IF(ISERROR(FIND("CG",B44)),IF(ISERROR(FIND("AG",B44)),IF(ISERROR(FIND("RT",B44)),IF(ISERROR(FIND("RF",B44)),IF(ISERROR(FIND("AM",B44)),IF(ISERROR(FIND("RP",B44)),"","ROLO FORA DE POSIÇÃO"),"ACUMULO DE MATERIAL"),"ROLO FALTANTE"),"ROLETE TRAVADO"),"DESGASTE NATURAL"),"CILINDRO GASTO"),"DEGOLADO"),"ROLAMENTO DANIFICADO")</f>
        <v/>
      </c>
      <c r="O44" s="1" t="n">
        <v>12008473</v>
      </c>
      <c r="P44" s="2" t="n">
        <v>46087</v>
      </c>
    </row>
    <row r="46">
      <c r="A46" s="1" t="inlineStr">
        <is>
          <t>P1 - Urgência</t>
        </is>
      </c>
      <c r="B46" s="1" t="inlineStr">
        <is>
          <t>18-RC-D-RO</t>
        </is>
      </c>
      <c r="C46" s="1" t="inlineStr">
        <is>
          <t>11CV56</t>
        </is>
      </c>
      <c r="D46" s="1">
        <f>LEFT(B46,FIND("-",B46)-1)</f>
        <v/>
      </c>
      <c r="E46" s="1">
        <f>MID(B46,FIND("-",B46)+1,FIND("-",B46,FIND("-",B46)+1)-FIND("-",B46)-1)</f>
        <v/>
      </c>
      <c r="G46" s="1">
        <f>IF(ISERROR(FIND("-D-",B46)),"","X")</f>
        <v/>
      </c>
      <c r="H46" s="1">
        <f>IF(ISERROR(FIND("-C-",B46)),"","X")</f>
        <v/>
      </c>
      <c r="I46" s="1">
        <f>IF(ISERROR(FIND("-E-",B46)),"","X")</f>
        <v/>
      </c>
      <c r="K46" s="1">
        <f>IF(ISERROR(FIND("P1",A46)),"","X")</f>
        <v/>
      </c>
      <c r="L46" s="1">
        <f>IF(ISERROR(FIND("P2",A46)),"","X")</f>
        <v/>
      </c>
      <c r="M46" s="1">
        <f>IF(ISERROR(FIND("P3",A46)),"","X")</f>
        <v/>
      </c>
      <c r="N46" s="1">
        <f>IF(ISERROR(FIND("RO",B46)),IF(ISERROR(FIND("CD",B46)),IF(ISERROR(FIND("CG",B46)),IF(ISERROR(FIND("AG",B46)),IF(ISERROR(FIND("RT",B46)),IF(ISERROR(FIND("RF",B46)),IF(ISERROR(FIND("AM",B46)),IF(ISERROR(FIND("RP",B46)),"","ROLO FORA DE POSIÇÃO"),"ACUMULO DE MATERIAL"),"ROLO FALTANTE"),"ROLETE TRAVADO"),"DESGASTE NATURAL"),"CILINDRO GASTO"),"DEGOLADO"),"ROLAMENTO DANIFICADO")</f>
        <v/>
      </c>
      <c r="O46" s="1" t="n">
        <v>12005354</v>
      </c>
      <c r="P46" s="2" t="n">
        <v>46084</v>
      </c>
    </row>
    <row r="47">
      <c r="A47" s="1" t="inlineStr">
        <is>
          <t>P1 - Urgência</t>
        </is>
      </c>
      <c r="B47" s="1" t="inlineStr">
        <is>
          <t>18-RC-D-RO</t>
        </is>
      </c>
      <c r="C47" s="1" t="inlineStr">
        <is>
          <t>11CV56</t>
        </is>
      </c>
      <c r="D47" s="1">
        <f>LEFT(B47,FIND("-",B47)-1)</f>
        <v/>
      </c>
      <c r="E47" s="1">
        <f>MID(B47,FIND("-",B47)+1,FIND("-",B47,FIND("-",B47)+1)-FIND("-",B47)-1)</f>
        <v/>
      </c>
      <c r="G47" s="1">
        <f>IF(ISERROR(FIND("-D-",B47)),"","X")</f>
        <v/>
      </c>
      <c r="H47" s="1">
        <f>IF(ISERROR(FIND("-C-",B47)),"","X")</f>
        <v/>
      </c>
      <c r="I47" s="1">
        <f>IF(ISERROR(FIND("-E-",B47)),"","X")</f>
        <v/>
      </c>
      <c r="K47" s="1">
        <f>IF(ISERROR(FIND("P1",A47)),"","X")</f>
        <v/>
      </c>
      <c r="L47" s="1">
        <f>IF(ISERROR(FIND("P2",A47)),"","X")</f>
        <v/>
      </c>
      <c r="M47" s="1">
        <f>IF(ISERROR(FIND("P3",A47)),"","X")</f>
        <v/>
      </c>
      <c r="N47" s="1">
        <f>IF(ISERROR(FIND("RO",B47)),IF(ISERROR(FIND("CD",B47)),IF(ISERROR(FIND("CG",B47)),IF(ISERROR(FIND("AG",B47)),IF(ISERROR(FIND("RT",B47)),IF(ISERROR(FIND("RF",B47)),IF(ISERROR(FIND("AM",B47)),IF(ISERROR(FIND("RP",B47)),"","ROLO FORA DE POSIÇÃO"),"ACUMULO DE MATERIAL"),"ROLO FALTANTE"),"ROLETE TRAVADO"),"DESGASTE NATURAL"),"CILINDRO GASTO"),"DEGOLADO"),"ROLAMENTO DANIFICADO")</f>
        <v/>
      </c>
      <c r="O47" s="1" t="n">
        <v>12005506</v>
      </c>
      <c r="P47" s="2" t="n">
        <v>46084</v>
      </c>
    </row>
    <row r="49">
      <c r="A49" s="1" t="inlineStr">
        <is>
          <t>P1 - Urgência</t>
        </is>
      </c>
      <c r="B49" s="1" t="inlineStr">
        <is>
          <t>1-RC-E-RP</t>
        </is>
      </c>
      <c r="C49" s="1" t="inlineStr">
        <is>
          <t>11LL03</t>
        </is>
      </c>
      <c r="D49" s="1">
        <f>LEFT(B49,FIND("-",B49)-1)</f>
        <v/>
      </c>
      <c r="E49" s="1">
        <f>MID(B49,FIND("-",B49)+1,FIND("-",B49,FIND("-",B49)+1)-FIND("-",B49)-1)</f>
        <v/>
      </c>
      <c r="G49" s="1">
        <f>IF(ISERROR(FIND("-D-",B49)),"","X")</f>
        <v/>
      </c>
      <c r="H49" s="1">
        <f>IF(ISERROR(FIND("-C-",B49)),"","X")</f>
        <v/>
      </c>
      <c r="I49" s="1">
        <f>IF(ISERROR(FIND("-E-",B49)),"","X")</f>
        <v/>
      </c>
      <c r="K49" s="1">
        <f>IF(ISERROR(FIND("P1",A49)),"","X")</f>
        <v/>
      </c>
      <c r="L49" s="1">
        <f>IF(ISERROR(FIND("P2",A49)),"","X")</f>
        <v/>
      </c>
      <c r="M49" s="1">
        <f>IF(ISERROR(FIND("P3",A49)),"","X")</f>
        <v/>
      </c>
      <c r="N49" s="1">
        <f>IF(ISERROR(FIND("RO",B49)),IF(ISERROR(FIND("CD",B49)),IF(ISERROR(FIND("CG",B49)),IF(ISERROR(FIND("AG",B49)),IF(ISERROR(FIND("RT",B49)),IF(ISERROR(FIND("RF",B49)),IF(ISERROR(FIND("AM",B49)),IF(ISERROR(FIND("RP",B49)),"","ROLO FORA DE POSIÇÃO"),"ACUMULO DE MATERIAL"),"ROLO FALTANTE"),"ROLETE TRAVADO"),"DESGASTE NATURAL"),"CILINDRO GASTO"),"DEGOLADO"),"ROLAMENTO DANIFICADO")</f>
        <v/>
      </c>
      <c r="O49" s="1" t="n">
        <v>12005545</v>
      </c>
      <c r="P49" s="2" t="n">
        <v>46084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2026-03-10T18:50:49Z</dcterms:created>
  <dcterms:modified xsi:type="dcterms:W3CDTF">2026-03-10T18:50:49Z</dcterms:modified>
</cp:coreProperties>
</file>