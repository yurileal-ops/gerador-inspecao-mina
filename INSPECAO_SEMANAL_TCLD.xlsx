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ção Semanal TC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1" fillId="0" borderId="1" pivotButton="0" quotePrefix="0" xfId="1"/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15" max="15"/>
    <col width="13" bestFit="1" customWidth="1" min="16" max="16"/>
  </cols>
  <sheetData>
    <row r="1">
      <c r="A1" s="1" t="inlineStr">
        <is>
          <t>PRIORIDADE</t>
        </is>
      </c>
      <c r="B1" s="1" t="inlineStr">
        <is>
          <t>TEXTO DO ITEM</t>
        </is>
      </c>
      <c r="C1" s="1" t="inlineStr">
        <is>
          <t>CORREIA</t>
        </is>
      </c>
      <c r="O1" s="1" t="inlineStr">
        <is>
          <t>Nº NOTA</t>
        </is>
      </c>
      <c r="P1" s="1" t="inlineStr">
        <is>
          <t>DATA INSPEÇÃO</t>
        </is>
      </c>
    </row>
    <row r="2">
      <c r="A2" s="1" t="inlineStr">
        <is>
          <t>P1 - Urgência</t>
        </is>
      </c>
      <c r="B2" s="1" t="inlineStr">
        <is>
          <t>40-RR-D-RO</t>
        </is>
      </c>
      <c r="C2" s="1" t="inlineStr">
        <is>
          <t>02CV011</t>
        </is>
      </c>
      <c r="D2" s="1">
        <f>LEFT(B2,FIND("-",B2)-1)</f>
        <v/>
      </c>
      <c r="E2" s="1">
        <f>MID(B2,FIND("-",B2)+1,FIND("-",B2,FIND("-",B2)+1)-FIND("-",B2)-1)</f>
        <v/>
      </c>
      <c r="G2" s="1">
        <f>IF(ISERROR(FIND("-D-",B2)),"","X")</f>
        <v/>
      </c>
      <c r="H2" s="1">
        <f>IF(ISERROR(FIND("-C-",B2)),"","X")</f>
        <v/>
      </c>
      <c r="I2" s="1">
        <f>IF(ISERROR(FIND("-E-",B2)),"","X")</f>
        <v/>
      </c>
      <c r="K2" s="1">
        <f>IF(ISERROR(FIND("P1",A2)),"","X")</f>
        <v/>
      </c>
      <c r="L2" s="1">
        <f>IF(ISERROR(FIND("P2",A2)),"","X")</f>
        <v/>
      </c>
      <c r="M2" s="1">
        <f>IF(ISERROR(FIND("P3",A2)),"","X")</f>
        <v/>
      </c>
      <c r="N2" s="1">
        <f>IF(ISERROR(FIND("RO",B2)),IF(ISERROR(FIND("CD",B2)),IF(ISERROR(FIND("CG",B2)),IF(ISERROR(FIND("AG",B2)),IF(ISERROR(FIND("RT",B2)),IF(ISERROR(FIND("RF",B2)),IF(ISERROR(FIND("AM",B2)),IF(ISERROR(FIND("RP",B2)),"","ROLO FORA DE POSIÇÃO"),"ACUMULO DE MATERIAL"),"ROLO FALTANTE"),"ROLETE TRAVADO"),"DESGASTE NATURAL"),"CILINDRO GASTO"),"DEGOLADO"),"ROLAMENTO DANIFICADO")</f>
        <v/>
      </c>
      <c r="O2" s="1" t="n">
        <v>12007462</v>
      </c>
      <c r="P2" s="2" t="n">
        <v>46087</v>
      </c>
    </row>
    <row r="3">
      <c r="A3" s="1" t="inlineStr">
        <is>
          <t>P1 - Urgência</t>
        </is>
      </c>
      <c r="B3" s="1" t="inlineStr">
        <is>
          <t>88-RC-D-RO</t>
        </is>
      </c>
      <c r="C3" s="1" t="inlineStr">
        <is>
          <t>02CV011</t>
        </is>
      </c>
      <c r="D3" s="1">
        <f>LEFT(B3,FIND("-",B3)-1)</f>
        <v/>
      </c>
      <c r="E3" s="1">
        <f>MID(B3,FIND("-",B3)+1,FIND("-",B3,FIND("-",B3)+1)-FIND("-",B3)-1)</f>
        <v/>
      </c>
      <c r="G3" s="1">
        <f>IF(ISERROR(FIND("-D-",B3)),"","X")</f>
        <v/>
      </c>
      <c r="H3" s="1">
        <f>IF(ISERROR(FIND("-C-",B3)),"","X")</f>
        <v/>
      </c>
      <c r="I3" s="1">
        <f>IF(ISERROR(FIND("-E-",B3)),"","X")</f>
        <v/>
      </c>
      <c r="K3" s="1">
        <f>IF(ISERROR(FIND("P1",A3)),"","X")</f>
        <v/>
      </c>
      <c r="L3" s="1">
        <f>IF(ISERROR(FIND("P2",A3)),"","X")</f>
        <v/>
      </c>
      <c r="M3" s="1">
        <f>IF(ISERROR(FIND("P3",A3)),"","X")</f>
        <v/>
      </c>
      <c r="N3" s="1">
        <f>IF(ISERROR(FIND("RO",B3)),IF(ISERROR(FIND("CD",B3)),IF(ISERROR(FIND("CG",B3)),IF(ISERROR(FIND("AG",B3)),IF(ISERROR(FIND("RT",B3)),IF(ISERROR(FIND("RF",B3)),IF(ISERROR(FIND("AM",B3)),IF(ISERROR(FIND("RP",B3)),"","ROLO FORA DE POSIÇÃO"),"ACUMULO DE MATERIAL"),"ROLO FALTANTE"),"ROLETE TRAVADO"),"DESGASTE NATURAL"),"CILINDRO GASTO"),"DEGOLADO"),"ROLAMENTO DANIFICADO")</f>
        <v/>
      </c>
      <c r="O3" s="1" t="n">
        <v>12007461</v>
      </c>
      <c r="P3" s="2" t="n">
        <v>46087</v>
      </c>
    </row>
    <row r="4">
      <c r="A4" s="1" t="inlineStr">
        <is>
          <t>P1 - Urgência</t>
        </is>
      </c>
      <c r="B4" s="1" t="inlineStr">
        <is>
          <t>158-RC-D-RO</t>
        </is>
      </c>
      <c r="C4" s="1" t="inlineStr">
        <is>
          <t>02CV011</t>
        </is>
      </c>
      <c r="D4" s="1">
        <f>LEFT(B4,FIND("-",B4)-1)</f>
        <v/>
      </c>
      <c r="E4" s="1">
        <f>MID(B4,FIND("-",B4)+1,FIND("-",B4,FIND("-",B4)+1)-FIND("-",B4)-1)</f>
        <v/>
      </c>
      <c r="G4" s="1">
        <f>IF(ISERROR(FIND("-D-",B4)),"","X")</f>
        <v/>
      </c>
      <c r="H4" s="1">
        <f>IF(ISERROR(FIND("-C-",B4)),"","X")</f>
        <v/>
      </c>
      <c r="I4" s="1">
        <f>IF(ISERROR(FIND("-E-",B4)),"","X")</f>
        <v/>
      </c>
      <c r="K4" s="1">
        <f>IF(ISERROR(FIND("P1",A4)),"","X")</f>
        <v/>
      </c>
      <c r="L4" s="1">
        <f>IF(ISERROR(FIND("P2",A4)),"","X")</f>
        <v/>
      </c>
      <c r="M4" s="1">
        <f>IF(ISERROR(FIND("P3",A4)),"","X")</f>
        <v/>
      </c>
      <c r="N4" s="1">
        <f>IF(ISERROR(FIND("RO",B4)),IF(ISERROR(FIND("CD",B4)),IF(ISERROR(FIND("CG",B4)),IF(ISERROR(FIND("AG",B4)),IF(ISERROR(FIND("RT",B4)),IF(ISERROR(FIND("RF",B4)),IF(ISERROR(FIND("AM",B4)),IF(ISERROR(FIND("RP",B4)),"","ROLO FORA DE POSIÇÃO"),"ACUMULO DE MATERIAL"),"ROLO FALTANTE"),"ROLETE TRAVADO"),"DESGASTE NATURAL"),"CILINDRO GASTO"),"DEGOLADO"),"ROLAMENTO DANIFICADO")</f>
        <v/>
      </c>
      <c r="O4" s="1" t="n">
        <v>12007459</v>
      </c>
      <c r="P4" s="2" t="n">
        <v>46087</v>
      </c>
    </row>
    <row r="5">
      <c r="A5" s="1" t="inlineStr">
        <is>
          <t>P1 - Urgência</t>
        </is>
      </c>
      <c r="B5" s="1" t="inlineStr">
        <is>
          <t>732-RC-D-CG</t>
        </is>
      </c>
      <c r="C5" s="1" t="inlineStr">
        <is>
          <t>02CV011</t>
        </is>
      </c>
      <c r="D5" s="1">
        <f>LEFT(B5,FIND("-",B5)-1)</f>
        <v/>
      </c>
      <c r="E5" s="1">
        <f>MID(B5,FIND("-",B5)+1,FIND("-",B5,FIND("-",B5)+1)-FIND("-",B5)-1)</f>
        <v/>
      </c>
      <c r="G5" s="1">
        <f>IF(ISERROR(FIND("-D-",B5)),"","X")</f>
        <v/>
      </c>
      <c r="H5" s="1">
        <f>IF(ISERROR(FIND("-C-",B5)),"","X")</f>
        <v/>
      </c>
      <c r="I5" s="1">
        <f>IF(ISERROR(FIND("-E-",B5)),"","X")</f>
        <v/>
      </c>
      <c r="K5" s="1">
        <f>IF(ISERROR(FIND("P1",A5)),"","X")</f>
        <v/>
      </c>
      <c r="L5" s="1">
        <f>IF(ISERROR(FIND("P2",A5)),"","X")</f>
        <v/>
      </c>
      <c r="M5" s="1">
        <f>IF(ISERROR(FIND("P3",A5)),"","X")</f>
        <v/>
      </c>
      <c r="N5" s="1">
        <f>IF(ISERROR(FIND("RO",B5)),IF(ISERROR(FIND("CD",B5)),IF(ISERROR(FIND("CG",B5)),IF(ISERROR(FIND("AG",B5)),IF(ISERROR(FIND("RT",B5)),IF(ISERROR(FIND("RF",B5)),IF(ISERROR(FIND("AM",B5)),IF(ISERROR(FIND("RP",B5)),"","ROLO FORA DE POSIÇÃO"),"ACUMULO DE MATERIAL"),"ROLO FALTANTE"),"ROLETE TRAVADO"),"DESGASTE NATURAL"),"CILINDRO GASTO"),"DEGOLADO"),"ROLAMENTO DANIFICADO")</f>
        <v/>
      </c>
      <c r="O5" s="1" t="n">
        <v>12007458</v>
      </c>
      <c r="P5" s="2" t="n">
        <v>46087</v>
      </c>
    </row>
    <row r="7">
      <c r="A7" s="1" t="inlineStr">
        <is>
          <t>P1 - Urgência</t>
        </is>
      </c>
      <c r="B7" s="1" t="inlineStr">
        <is>
          <t>107-RC-E-CG</t>
        </is>
      </c>
      <c r="C7" s="1" t="inlineStr">
        <is>
          <t>02CV012</t>
        </is>
      </c>
      <c r="D7" s="1">
        <f>LEFT(B7,FIND("-",B7)-1)</f>
        <v/>
      </c>
      <c r="E7" s="1">
        <f>MID(B7,FIND("-",B7)+1,FIND("-",B7,FIND("-",B7)+1)-FIND("-",B7)-1)</f>
        <v/>
      </c>
      <c r="G7" s="1">
        <f>IF(ISERROR(FIND("-D-",B7)),"","X")</f>
        <v/>
      </c>
      <c r="H7" s="1">
        <f>IF(ISERROR(FIND("-C-",B7)),"","X")</f>
        <v/>
      </c>
      <c r="I7" s="1">
        <f>IF(ISERROR(FIND("-E-",B7)),"","X")</f>
        <v/>
      </c>
      <c r="K7" s="1">
        <f>IF(ISERROR(FIND("P1",A7)),"","X")</f>
        <v/>
      </c>
      <c r="L7" s="1">
        <f>IF(ISERROR(FIND("P2",A7)),"","X")</f>
        <v/>
      </c>
      <c r="M7" s="1">
        <f>IF(ISERROR(FIND("P3",A7)),"","X")</f>
        <v/>
      </c>
      <c r="N7" s="1">
        <f>IF(ISERROR(FIND("RO",B7)),IF(ISERROR(FIND("CD",B7)),IF(ISERROR(FIND("CG",B7)),IF(ISERROR(FIND("AG",B7)),IF(ISERROR(FIND("RT",B7)),IF(ISERROR(FIND("RF",B7)),IF(ISERROR(FIND("AM",B7)),IF(ISERROR(FIND("RP",B7)),"","ROLO FORA DE POSIÇÃO"),"ACUMULO DE MATERIAL"),"ROLO FALTANTE"),"ROLETE TRAVADO"),"DESGASTE NATURAL"),"CILINDRO GASTO"),"DEGOLADO"),"ROLAMENTO DANIFICADO")</f>
        <v/>
      </c>
      <c r="O7" s="1" t="n">
        <v>12007455</v>
      </c>
      <c r="P7" s="2" t="n">
        <v>46087</v>
      </c>
    </row>
    <row r="8">
      <c r="A8" s="1" t="inlineStr">
        <is>
          <t>P1 - Urgência</t>
        </is>
      </c>
      <c r="B8" s="1" t="inlineStr">
        <is>
          <t>108-RC-E-CG</t>
        </is>
      </c>
      <c r="C8" s="1" t="inlineStr">
        <is>
          <t>02CV012</t>
        </is>
      </c>
      <c r="D8" s="1">
        <f>LEFT(B8,FIND("-",B8)-1)</f>
        <v/>
      </c>
      <c r="E8" s="1">
        <f>MID(B8,FIND("-",B8)+1,FIND("-",B8,FIND("-",B8)+1)-FIND("-",B8)-1)</f>
        <v/>
      </c>
      <c r="G8" s="1">
        <f>IF(ISERROR(FIND("-D-",B8)),"","X")</f>
        <v/>
      </c>
      <c r="H8" s="1">
        <f>IF(ISERROR(FIND("-C-",B8)),"","X")</f>
        <v/>
      </c>
      <c r="I8" s="1">
        <f>IF(ISERROR(FIND("-E-",B8)),"","X")</f>
        <v/>
      </c>
      <c r="K8" s="1">
        <f>IF(ISERROR(FIND("P1",A8)),"","X")</f>
        <v/>
      </c>
      <c r="L8" s="1">
        <f>IF(ISERROR(FIND("P2",A8)),"","X")</f>
        <v/>
      </c>
      <c r="M8" s="1">
        <f>IF(ISERROR(FIND("P3",A8)),"","X")</f>
        <v/>
      </c>
      <c r="N8" s="1">
        <f>IF(ISERROR(FIND("RO",B8)),IF(ISERROR(FIND("CD",B8)),IF(ISERROR(FIND("CG",B8)),IF(ISERROR(FIND("AG",B8)),IF(ISERROR(FIND("RT",B8)),IF(ISERROR(FIND("RF",B8)),IF(ISERROR(FIND("AM",B8)),IF(ISERROR(FIND("RP",B8)),"","ROLO FORA DE POSIÇÃO"),"ACUMULO DE MATERIAL"),"ROLO FALTANTE"),"ROLETE TRAVADO"),"DESGASTE NATURAL"),"CILINDRO GASTO"),"DEGOLADO"),"ROLAMENTO DANIFICADO")</f>
        <v/>
      </c>
      <c r="O8" s="1" t="n">
        <v>12007453</v>
      </c>
      <c r="P8" s="2" t="n">
        <v>46087</v>
      </c>
    </row>
    <row r="9">
      <c r="A9" s="1" t="inlineStr">
        <is>
          <t>P1 - Urgência</t>
        </is>
      </c>
      <c r="B9" s="1" t="inlineStr">
        <is>
          <t>118-RC-E-CG</t>
        </is>
      </c>
      <c r="C9" s="1" t="inlineStr">
        <is>
          <t>02CV012</t>
        </is>
      </c>
      <c r="D9" s="1">
        <f>LEFT(B9,FIND("-",B9)-1)</f>
        <v/>
      </c>
      <c r="E9" s="1">
        <f>MID(B9,FIND("-",B9)+1,FIND("-",B9,FIND("-",B9)+1)-FIND("-",B9)-1)</f>
        <v/>
      </c>
      <c r="G9" s="1">
        <f>IF(ISERROR(FIND("-D-",B9)),"","X")</f>
        <v/>
      </c>
      <c r="H9" s="1">
        <f>IF(ISERROR(FIND("-C-",B9)),"","X")</f>
        <v/>
      </c>
      <c r="I9" s="1">
        <f>IF(ISERROR(FIND("-E-",B9)),"","X")</f>
        <v/>
      </c>
      <c r="K9" s="1">
        <f>IF(ISERROR(FIND("P1",A9)),"","X")</f>
        <v/>
      </c>
      <c r="L9" s="1">
        <f>IF(ISERROR(FIND("P2",A9)),"","X")</f>
        <v/>
      </c>
      <c r="M9" s="1">
        <f>IF(ISERROR(FIND("P3",A9)),"","X")</f>
        <v/>
      </c>
      <c r="N9" s="1">
        <f>IF(ISERROR(FIND("RO",B9)),IF(ISERROR(FIND("CD",B9)),IF(ISERROR(FIND("CG",B9)),IF(ISERROR(FIND("AG",B9)),IF(ISERROR(FIND("RT",B9)),IF(ISERROR(FIND("RF",B9)),IF(ISERROR(FIND("AM",B9)),IF(ISERROR(FIND("RP",B9)),"","ROLO FORA DE POSIÇÃO"),"ACUMULO DE MATERIAL"),"ROLO FALTANTE"),"ROLETE TRAVADO"),"DESGASTE NATURAL"),"CILINDRO GASTO"),"DEGOLADO"),"ROLAMENTO DANIFICADO")</f>
        <v/>
      </c>
      <c r="O9" s="1" t="n">
        <v>12007452</v>
      </c>
      <c r="P9" s="2" t="n">
        <v>46087</v>
      </c>
    </row>
    <row r="10">
      <c r="A10" s="1" t="inlineStr">
        <is>
          <t>P1 - Urgência</t>
        </is>
      </c>
      <c r="B10" s="1" t="inlineStr">
        <is>
          <t>138-RC-C-CG</t>
        </is>
      </c>
      <c r="C10" s="1" t="inlineStr">
        <is>
          <t>02CV012</t>
        </is>
      </c>
      <c r="D10" s="1">
        <f>LEFT(B10,FIND("-",B10)-1)</f>
        <v/>
      </c>
      <c r="E10" s="1">
        <f>MID(B10,FIND("-",B10)+1,FIND("-",B10,FIND("-",B10)+1)-FIND("-",B10)-1)</f>
        <v/>
      </c>
      <c r="G10" s="1">
        <f>IF(ISERROR(FIND("-D-",B10)),"","X")</f>
        <v/>
      </c>
      <c r="H10" s="1">
        <f>IF(ISERROR(FIND("-C-",B10)),"","X")</f>
        <v/>
      </c>
      <c r="I10" s="1">
        <f>IF(ISERROR(FIND("-E-",B10)),"","X")</f>
        <v/>
      </c>
      <c r="K10" s="1">
        <f>IF(ISERROR(FIND("P1",A10)),"","X")</f>
        <v/>
      </c>
      <c r="L10" s="1">
        <f>IF(ISERROR(FIND("P2",A10)),"","X")</f>
        <v/>
      </c>
      <c r="M10" s="1">
        <f>IF(ISERROR(FIND("P3",A10)),"","X")</f>
        <v/>
      </c>
      <c r="N10" s="1">
        <f>IF(ISERROR(FIND("RO",B10)),IF(ISERROR(FIND("CD",B10)),IF(ISERROR(FIND("CG",B10)),IF(ISERROR(FIND("AG",B10)),IF(ISERROR(FIND("RT",B10)),IF(ISERROR(FIND("RF",B10)),IF(ISERROR(FIND("AM",B10)),IF(ISERROR(FIND("RP",B10)),"","ROLO FORA DE POSIÇÃO"),"ACUMULO DE MATERIAL"),"ROLO FALTANTE"),"ROLETE TRAVADO"),"DESGASTE NATURAL"),"CILINDRO GASTO"),"DEGOLADO"),"ROLAMENTO DANIFICADO")</f>
        <v/>
      </c>
      <c r="O10" s="1" t="n">
        <v>12007450</v>
      </c>
      <c r="P10" s="2" t="n">
        <v>46087</v>
      </c>
    </row>
    <row r="11">
      <c r="A11" s="1" t="inlineStr">
        <is>
          <t>P1 - Urgência</t>
        </is>
      </c>
      <c r="B11" s="1" t="inlineStr">
        <is>
          <t>146-RC-E-CG</t>
        </is>
      </c>
      <c r="C11" s="1" t="inlineStr">
        <is>
          <t>02CV012</t>
        </is>
      </c>
      <c r="D11" s="1">
        <f>LEFT(B11,FIND("-",B11)-1)</f>
        <v/>
      </c>
      <c r="E11" s="1">
        <f>MID(B11,FIND("-",B11)+1,FIND("-",B11,FIND("-",B11)+1)-FIND("-",B11)-1)</f>
        <v/>
      </c>
      <c r="G11" s="1">
        <f>IF(ISERROR(FIND("-D-",B11)),"","X")</f>
        <v/>
      </c>
      <c r="H11" s="1">
        <f>IF(ISERROR(FIND("-C-",B11)),"","X")</f>
        <v/>
      </c>
      <c r="I11" s="1">
        <f>IF(ISERROR(FIND("-E-",B11)),"","X")</f>
        <v/>
      </c>
      <c r="K11" s="1">
        <f>IF(ISERROR(FIND("P1",A11)),"","X")</f>
        <v/>
      </c>
      <c r="L11" s="1">
        <f>IF(ISERROR(FIND("P2",A11)),"","X")</f>
        <v/>
      </c>
      <c r="M11" s="1">
        <f>IF(ISERROR(FIND("P3",A11)),"","X")</f>
        <v/>
      </c>
      <c r="N11" s="1">
        <f>IF(ISERROR(FIND("RO",B11)),IF(ISERROR(FIND("CD",B11)),IF(ISERROR(FIND("CG",B11)),IF(ISERROR(FIND("AG",B11)),IF(ISERROR(FIND("RT",B11)),IF(ISERROR(FIND("RF",B11)),IF(ISERROR(FIND("AM",B11)),IF(ISERROR(FIND("RP",B11)),"","ROLO FORA DE POSIÇÃO"),"ACUMULO DE MATERIAL"),"ROLO FALTANTE"),"ROLETE TRAVADO"),"DESGASTE NATURAL"),"CILINDRO GASTO"),"DEGOLADO"),"ROLAMENTO DANIFICADO")</f>
        <v/>
      </c>
      <c r="O11" s="1" t="n">
        <v>12007448</v>
      </c>
      <c r="P11" s="2" t="n">
        <v>46087</v>
      </c>
    </row>
    <row r="12">
      <c r="A12" s="1" t="inlineStr">
        <is>
          <t>P1 - Urgência</t>
        </is>
      </c>
      <c r="B12" s="1" t="inlineStr">
        <is>
          <t>173-RC-E-CG</t>
        </is>
      </c>
      <c r="C12" s="1" t="inlineStr">
        <is>
          <t>02CV012</t>
        </is>
      </c>
      <c r="D12" s="1">
        <f>LEFT(B12,FIND("-",B12)-1)</f>
        <v/>
      </c>
      <c r="E12" s="1">
        <f>MID(B12,FIND("-",B12)+1,FIND("-",B12,FIND("-",B12)+1)-FIND("-",B12)-1)</f>
        <v/>
      </c>
      <c r="G12" s="1">
        <f>IF(ISERROR(FIND("-D-",B12)),"","X")</f>
        <v/>
      </c>
      <c r="H12" s="1">
        <f>IF(ISERROR(FIND("-C-",B12)),"","X")</f>
        <v/>
      </c>
      <c r="I12" s="1">
        <f>IF(ISERROR(FIND("-E-",B12)),"","X")</f>
        <v/>
      </c>
      <c r="K12" s="1">
        <f>IF(ISERROR(FIND("P1",A12)),"","X")</f>
        <v/>
      </c>
      <c r="L12" s="1">
        <f>IF(ISERROR(FIND("P2",A12)),"","X")</f>
        <v/>
      </c>
      <c r="M12" s="1">
        <f>IF(ISERROR(FIND("P3",A12)),"","X")</f>
        <v/>
      </c>
      <c r="N12" s="1">
        <f>IF(ISERROR(FIND("RO",B12)),IF(ISERROR(FIND("CD",B12)),IF(ISERROR(FIND("CG",B12)),IF(ISERROR(FIND("AG",B12)),IF(ISERROR(FIND("RT",B12)),IF(ISERROR(FIND("RF",B12)),IF(ISERROR(FIND("AM",B12)),IF(ISERROR(FIND("RP",B12)),"","ROLO FORA DE POSIÇÃO"),"ACUMULO DE MATERIAL"),"ROLO FALTANTE"),"ROLETE TRAVADO"),"DESGASTE NATURAL"),"CILINDRO GASTO"),"DEGOLADO"),"ROLAMENTO DANIFICADO")</f>
        <v/>
      </c>
      <c r="O12" s="1" t="n">
        <v>12007447</v>
      </c>
      <c r="P12" s="2" t="n">
        <v>46087</v>
      </c>
    </row>
    <row r="13">
      <c r="A13" s="1" t="inlineStr">
        <is>
          <t>P1 - Urgência</t>
        </is>
      </c>
      <c r="B13" s="1" t="inlineStr">
        <is>
          <t>174-RC-E-CG</t>
        </is>
      </c>
      <c r="C13" s="1" t="inlineStr">
        <is>
          <t>02CV012</t>
        </is>
      </c>
      <c r="D13" s="1">
        <f>LEFT(B13,FIND("-",B13)-1)</f>
        <v/>
      </c>
      <c r="E13" s="1">
        <f>MID(B13,FIND("-",B13)+1,FIND("-",B13,FIND("-",B13)+1)-FIND("-",B13)-1)</f>
        <v/>
      </c>
      <c r="G13" s="1">
        <f>IF(ISERROR(FIND("-D-",B13)),"","X")</f>
        <v/>
      </c>
      <c r="H13" s="1">
        <f>IF(ISERROR(FIND("-C-",B13)),"","X")</f>
        <v/>
      </c>
      <c r="I13" s="1">
        <f>IF(ISERROR(FIND("-E-",B13)),"","X")</f>
        <v/>
      </c>
      <c r="K13" s="1">
        <f>IF(ISERROR(FIND("P1",A13)),"","X")</f>
        <v/>
      </c>
      <c r="L13" s="1">
        <f>IF(ISERROR(FIND("P2",A13)),"","X")</f>
        <v/>
      </c>
      <c r="M13" s="1">
        <f>IF(ISERROR(FIND("P3",A13)),"","X")</f>
        <v/>
      </c>
      <c r="N13" s="1">
        <f>IF(ISERROR(FIND("RO",B13)),IF(ISERROR(FIND("CD",B13)),IF(ISERROR(FIND("CG",B13)),IF(ISERROR(FIND("AG",B13)),IF(ISERROR(FIND("RT",B13)),IF(ISERROR(FIND("RF",B13)),IF(ISERROR(FIND("AM",B13)),IF(ISERROR(FIND("RP",B13)),"","ROLO FORA DE POSIÇÃO"),"ACUMULO DE MATERIAL"),"ROLO FALTANTE"),"ROLETE TRAVADO"),"DESGASTE NATURAL"),"CILINDRO GASTO"),"DEGOLADO"),"ROLAMENTO DANIFICADO")</f>
        <v/>
      </c>
      <c r="O13" s="1" t="n">
        <v>12007445</v>
      </c>
      <c r="P13" s="2" t="n">
        <v>46087</v>
      </c>
    </row>
    <row r="14">
      <c r="A14" s="1" t="inlineStr">
        <is>
          <t>P1 - Urgência</t>
        </is>
      </c>
      <c r="B14" s="1" t="inlineStr">
        <is>
          <t>182-RC-E-CG</t>
        </is>
      </c>
      <c r="C14" s="1" t="inlineStr">
        <is>
          <t>02CV012</t>
        </is>
      </c>
      <c r="D14" s="1">
        <f>LEFT(B14,FIND("-",B14)-1)</f>
        <v/>
      </c>
      <c r="E14" s="1">
        <f>MID(B14,FIND("-",B14)+1,FIND("-",B14,FIND("-",B14)+1)-FIND("-",B14)-1)</f>
        <v/>
      </c>
      <c r="G14" s="1">
        <f>IF(ISERROR(FIND("-D-",B14)),"","X")</f>
        <v/>
      </c>
      <c r="H14" s="1">
        <f>IF(ISERROR(FIND("-C-",B14)),"","X")</f>
        <v/>
      </c>
      <c r="I14" s="1">
        <f>IF(ISERROR(FIND("-E-",B14)),"","X")</f>
        <v/>
      </c>
      <c r="K14" s="1">
        <f>IF(ISERROR(FIND("P1",A14)),"","X")</f>
        <v/>
      </c>
      <c r="L14" s="1">
        <f>IF(ISERROR(FIND("P2",A14)),"","X")</f>
        <v/>
      </c>
      <c r="M14" s="1">
        <f>IF(ISERROR(FIND("P3",A14)),"","X")</f>
        <v/>
      </c>
      <c r="N14" s="1">
        <f>IF(ISERROR(FIND("RO",B14)),IF(ISERROR(FIND("CD",B14)),IF(ISERROR(FIND("CG",B14)),IF(ISERROR(FIND("AG",B14)),IF(ISERROR(FIND("RT",B14)),IF(ISERROR(FIND("RF",B14)),IF(ISERROR(FIND("AM",B14)),IF(ISERROR(FIND("RP",B14)),"","ROLO FORA DE POSIÇÃO"),"ACUMULO DE MATERIAL"),"ROLO FALTANTE"),"ROLETE TRAVADO"),"DESGASTE NATURAL"),"CILINDRO GASTO"),"DEGOLADO"),"ROLAMENTO DANIFICADO")</f>
        <v/>
      </c>
      <c r="O14" s="1" t="n">
        <v>12007444</v>
      </c>
      <c r="P14" s="2" t="n">
        <v>46087</v>
      </c>
    </row>
    <row r="15">
      <c r="A15" s="1" t="inlineStr">
        <is>
          <t>P1 - Urgência</t>
        </is>
      </c>
      <c r="B15" s="1" t="inlineStr">
        <is>
          <t>286-RC-E-CG</t>
        </is>
      </c>
      <c r="C15" s="1" t="inlineStr">
        <is>
          <t>02CV012</t>
        </is>
      </c>
      <c r="D15" s="1">
        <f>LEFT(B15,FIND("-",B15)-1)</f>
        <v/>
      </c>
      <c r="E15" s="1">
        <f>MID(B15,FIND("-",B15)+1,FIND("-",B15,FIND("-",B15)+1)-FIND("-",B15)-1)</f>
        <v/>
      </c>
      <c r="G15" s="1">
        <f>IF(ISERROR(FIND("-D-",B15)),"","X")</f>
        <v/>
      </c>
      <c r="H15" s="1">
        <f>IF(ISERROR(FIND("-C-",B15)),"","X")</f>
        <v/>
      </c>
      <c r="I15" s="1">
        <f>IF(ISERROR(FIND("-E-",B15)),"","X")</f>
        <v/>
      </c>
      <c r="K15" s="1">
        <f>IF(ISERROR(FIND("P1",A15)),"","X")</f>
        <v/>
      </c>
      <c r="L15" s="1">
        <f>IF(ISERROR(FIND("P2",A15)),"","X")</f>
        <v/>
      </c>
      <c r="M15" s="1">
        <f>IF(ISERROR(FIND("P3",A15)),"","X")</f>
        <v/>
      </c>
      <c r="N15" s="1">
        <f>IF(ISERROR(FIND("RO",B15)),IF(ISERROR(FIND("CD",B15)),IF(ISERROR(FIND("CG",B15)),IF(ISERROR(FIND("AG",B15)),IF(ISERROR(FIND("RT",B15)),IF(ISERROR(FIND("RF",B15)),IF(ISERROR(FIND("AM",B15)),IF(ISERROR(FIND("RP",B15)),"","ROLO FORA DE POSIÇÃO"),"ACUMULO DE MATERIAL"),"ROLO FALTANTE"),"ROLETE TRAVADO"),"DESGASTE NATURAL"),"CILINDRO GASTO"),"DEGOLADO"),"ROLAMENTO DANIFICADO")</f>
        <v/>
      </c>
      <c r="O15" s="1" t="n">
        <v>12007442</v>
      </c>
      <c r="P15" s="2" t="n">
        <v>46087</v>
      </c>
    </row>
    <row r="17">
      <c r="A17" s="1" t="inlineStr">
        <is>
          <t>P1 - Urgência</t>
        </is>
      </c>
      <c r="B17" s="1" t="inlineStr">
        <is>
          <t>22-RR-D-RO</t>
        </is>
      </c>
      <c r="C17" s="1" t="inlineStr">
        <is>
          <t>03CV015</t>
        </is>
      </c>
      <c r="D17" s="1">
        <f>LEFT(B17,FIND("-",B17)-1)</f>
        <v/>
      </c>
      <c r="E17" s="1">
        <f>MID(B17,FIND("-",B17)+1,FIND("-",B17,FIND("-",B17)+1)-FIND("-",B17)-1)</f>
        <v/>
      </c>
      <c r="G17" s="1">
        <f>IF(ISERROR(FIND("-D-",B17)),"","X")</f>
        <v/>
      </c>
      <c r="H17" s="1">
        <f>IF(ISERROR(FIND("-C-",B17)),"","X")</f>
        <v/>
      </c>
      <c r="I17" s="1">
        <f>IF(ISERROR(FIND("-E-",B17)),"","X")</f>
        <v/>
      </c>
      <c r="K17" s="1">
        <f>IF(ISERROR(FIND("P1",A17)),"","X")</f>
        <v/>
      </c>
      <c r="L17" s="1">
        <f>IF(ISERROR(FIND("P2",A17)),"","X")</f>
        <v/>
      </c>
      <c r="M17" s="1">
        <f>IF(ISERROR(FIND("P3",A17)),"","X")</f>
        <v/>
      </c>
      <c r="N17" s="1">
        <f>IF(ISERROR(FIND("RO",B17)),IF(ISERROR(FIND("CD",B17)),IF(ISERROR(FIND("CG",B17)),IF(ISERROR(FIND("AG",B17)),IF(ISERROR(FIND("RT",B17)),IF(ISERROR(FIND("RF",B17)),IF(ISERROR(FIND("AM",B17)),IF(ISERROR(FIND("RP",B17)),"","ROLO FORA DE POSIÇÃO"),"ACUMULO DE MATERIAL"),"ROLO FALTANTE"),"ROLETE TRAVADO"),"DESGASTE NATURAL"),"CILINDRO GASTO"),"DEGOLADO"),"ROLAMENTO DANIFICADO")</f>
        <v/>
      </c>
      <c r="O17" s="1" t="n">
        <v>12007375</v>
      </c>
      <c r="P17" s="2" t="n">
        <v>46087</v>
      </c>
    </row>
    <row r="18">
      <c r="A18" s="1" t="inlineStr">
        <is>
          <t>P1 - Urgência</t>
        </is>
      </c>
      <c r="B18" s="1" t="inlineStr">
        <is>
          <t>102-RI-E-FE</t>
        </is>
      </c>
      <c r="C18" s="1" t="inlineStr">
        <is>
          <t>03CV015</t>
        </is>
      </c>
      <c r="D18" s="1">
        <f>LEFT(B18,FIND("-",B18)-1)</f>
        <v/>
      </c>
      <c r="E18" s="1">
        <f>MID(B18,FIND("-",B18)+1,FIND("-",B18,FIND("-",B18)+1)-FIND("-",B18)-1)</f>
        <v/>
      </c>
      <c r="G18" s="1">
        <f>IF(ISERROR(FIND("-D-",B18)),"","X")</f>
        <v/>
      </c>
      <c r="H18" s="1">
        <f>IF(ISERROR(FIND("-C-",B18)),"","X")</f>
        <v/>
      </c>
      <c r="I18" s="1">
        <f>IF(ISERROR(FIND("-E-",B18)),"","X")</f>
        <v/>
      </c>
      <c r="K18" s="1">
        <f>IF(ISERROR(FIND("P1",A18)),"","X")</f>
        <v/>
      </c>
      <c r="L18" s="1">
        <f>IF(ISERROR(FIND("P2",A18)),"","X")</f>
        <v/>
      </c>
      <c r="M18" s="1">
        <f>IF(ISERROR(FIND("P3",A18)),"","X")</f>
        <v/>
      </c>
      <c r="N18" s="1">
        <f>IF(ISERROR(FIND("RO",B18)),IF(ISERROR(FIND("CD",B18)),IF(ISERROR(FIND("CG",B18)),IF(ISERROR(FIND("AG",B18)),IF(ISERROR(FIND("RT",B18)),IF(ISERROR(FIND("RF",B18)),IF(ISERROR(FIND("AM",B18)),IF(ISERROR(FIND("RP",B18)),"","ROLO FORA DE POSIÇÃO"),"ACUMULO DE MATERIAL"),"ROLO FALTANTE"),"ROLETE TRAVADO"),"DESGASTE NATURAL"),"CILINDRO GASTO"),"DEGOLADO"),"ROLAMENTO DANIFICADO")</f>
        <v/>
      </c>
      <c r="O18" s="1" t="n">
        <v>12007383</v>
      </c>
      <c r="P18" s="2" t="n">
        <v>46087</v>
      </c>
    </row>
    <row r="19">
      <c r="A19" s="1" t="inlineStr">
        <is>
          <t>P1 - Urgência</t>
        </is>
      </c>
      <c r="B19" s="1" t="inlineStr">
        <is>
          <t>122-RC-D-FE</t>
        </is>
      </c>
      <c r="C19" s="1" t="inlineStr">
        <is>
          <t>03CV015</t>
        </is>
      </c>
      <c r="D19" s="1">
        <f>LEFT(B19,FIND("-",B19)-1)</f>
        <v/>
      </c>
      <c r="E19" s="1">
        <f>MID(B19,FIND("-",B19)+1,FIND("-",B19,FIND("-",B19)+1)-FIND("-",B19)-1)</f>
        <v/>
      </c>
      <c r="G19" s="1">
        <f>IF(ISERROR(FIND("-D-",B19)),"","X")</f>
        <v/>
      </c>
      <c r="H19" s="1">
        <f>IF(ISERROR(FIND("-C-",B19)),"","X")</f>
        <v/>
      </c>
      <c r="I19" s="1">
        <f>IF(ISERROR(FIND("-E-",B19)),"","X")</f>
        <v/>
      </c>
      <c r="K19" s="1">
        <f>IF(ISERROR(FIND("P1",A19)),"","X")</f>
        <v/>
      </c>
      <c r="L19" s="1">
        <f>IF(ISERROR(FIND("P2",A19)),"","X")</f>
        <v/>
      </c>
      <c r="M19" s="1">
        <f>IF(ISERROR(FIND("P3",A19)),"","X")</f>
        <v/>
      </c>
      <c r="N19" s="1">
        <f>IF(ISERROR(FIND("RO",B19)),IF(ISERROR(FIND("CD",B19)),IF(ISERROR(FIND("CG",B19)),IF(ISERROR(FIND("AG",B19)),IF(ISERROR(FIND("RT",B19)),IF(ISERROR(FIND("RF",B19)),IF(ISERROR(FIND("AM",B19)),IF(ISERROR(FIND("RP",B19)),"","ROLO FORA DE POSIÇÃO"),"ACUMULO DE MATERIAL"),"ROLO FALTANTE"),"ROLETE TRAVADO"),"DESGASTE NATURAL"),"CILINDRO GASTO"),"DEGOLADO"),"ROLAMENTO DANIFICADO")</f>
        <v/>
      </c>
      <c r="O19" s="1" t="n">
        <v>12007376</v>
      </c>
      <c r="P19" s="2" t="n">
        <v>46087</v>
      </c>
    </row>
    <row r="20">
      <c r="A20" s="1" t="inlineStr">
        <is>
          <t>P1 - Urgência</t>
        </is>
      </c>
      <c r="B20" s="1" t="inlineStr">
        <is>
          <t>125-RC-D-FE</t>
        </is>
      </c>
      <c r="C20" s="1" t="inlineStr">
        <is>
          <t>03CV015</t>
        </is>
      </c>
      <c r="D20" s="1">
        <f>LEFT(B20,FIND("-",B20)-1)</f>
        <v/>
      </c>
      <c r="E20" s="1">
        <f>MID(B20,FIND("-",B20)+1,FIND("-",B20,FIND("-",B20)+1)-FIND("-",B20)-1)</f>
        <v/>
      </c>
      <c r="G20" s="1">
        <f>IF(ISERROR(FIND("-D-",B20)),"","X")</f>
        <v/>
      </c>
      <c r="H20" s="1">
        <f>IF(ISERROR(FIND("-C-",B20)),"","X")</f>
        <v/>
      </c>
      <c r="I20" s="1">
        <f>IF(ISERROR(FIND("-E-",B20)),"","X")</f>
        <v/>
      </c>
      <c r="K20" s="1">
        <f>IF(ISERROR(FIND("P1",A20)),"","X")</f>
        <v/>
      </c>
      <c r="L20" s="1">
        <f>IF(ISERROR(FIND("P2",A20)),"","X")</f>
        <v/>
      </c>
      <c r="M20" s="1">
        <f>IF(ISERROR(FIND("P3",A20)),"","X")</f>
        <v/>
      </c>
      <c r="N20" s="1">
        <f>IF(ISERROR(FIND("RO",B20)),IF(ISERROR(FIND("CD",B20)),IF(ISERROR(FIND("CG",B20)),IF(ISERROR(FIND("AG",B20)),IF(ISERROR(FIND("RT",B20)),IF(ISERROR(FIND("RF",B20)),IF(ISERROR(FIND("AM",B20)),IF(ISERROR(FIND("RP",B20)),"","ROLO FORA DE POSIÇÃO"),"ACUMULO DE MATERIAL"),"ROLO FALTANTE"),"ROLETE TRAVADO"),"DESGASTE NATURAL"),"CILINDRO GASTO"),"DEGOLADO"),"ROLAMENTO DANIFICADO")</f>
        <v/>
      </c>
      <c r="O20" s="1" t="n">
        <v>12007377</v>
      </c>
      <c r="P20" s="2" t="n">
        <v>46087</v>
      </c>
    </row>
    <row r="21">
      <c r="A21" s="1" t="inlineStr">
        <is>
          <t>P1 - Urgência</t>
        </is>
      </c>
      <c r="B21" s="1" t="inlineStr">
        <is>
          <t>125-RC-E-FE</t>
        </is>
      </c>
      <c r="C21" s="1" t="inlineStr">
        <is>
          <t>03CV015</t>
        </is>
      </c>
      <c r="D21" s="1">
        <f>LEFT(B21,FIND("-",B21)-1)</f>
        <v/>
      </c>
      <c r="E21" s="1">
        <f>MID(B21,FIND("-",B21)+1,FIND("-",B21,FIND("-",B21)+1)-FIND("-",B21)-1)</f>
        <v/>
      </c>
      <c r="G21" s="1">
        <f>IF(ISERROR(FIND("-D-",B21)),"","X")</f>
        <v/>
      </c>
      <c r="H21" s="1">
        <f>IF(ISERROR(FIND("-C-",B21)),"","X")</f>
        <v/>
      </c>
      <c r="I21" s="1">
        <f>IF(ISERROR(FIND("-E-",B21)),"","X")</f>
        <v/>
      </c>
      <c r="K21" s="1">
        <f>IF(ISERROR(FIND("P1",A21)),"","X")</f>
        <v/>
      </c>
      <c r="L21" s="1">
        <f>IF(ISERROR(FIND("P2",A21)),"","X")</f>
        <v/>
      </c>
      <c r="M21" s="1">
        <f>IF(ISERROR(FIND("P3",A21)),"","X")</f>
        <v/>
      </c>
      <c r="N21" s="1">
        <f>IF(ISERROR(FIND("RO",B21)),IF(ISERROR(FIND("CD",B21)),IF(ISERROR(FIND("CG",B21)),IF(ISERROR(FIND("AG",B21)),IF(ISERROR(FIND("RT",B21)),IF(ISERROR(FIND("RF",B21)),IF(ISERROR(FIND("AM",B21)),IF(ISERROR(FIND("RP",B21)),"","ROLO FORA DE POSIÇÃO"),"ACUMULO DE MATERIAL"),"ROLO FALTANTE"),"ROLETE TRAVADO"),"DESGASTE NATURAL"),"CILINDRO GASTO"),"DEGOLADO"),"ROLAMENTO DANIFICADO")</f>
        <v/>
      </c>
      <c r="O21" s="1" t="n">
        <v>12007387</v>
      </c>
      <c r="P21" s="2" t="n">
        <v>46087</v>
      </c>
    </row>
    <row r="23">
      <c r="A23" s="1" t="inlineStr">
        <is>
          <t>P1 - Urgência</t>
        </is>
      </c>
      <c r="B23" s="1" t="inlineStr">
        <is>
          <t>106-RR-D-AG</t>
        </is>
      </c>
      <c r="C23" s="1" t="inlineStr">
        <is>
          <t>03CV016</t>
        </is>
      </c>
      <c r="D23" s="1">
        <f>LEFT(B23,FIND("-",B23)-1)</f>
        <v/>
      </c>
      <c r="E23" s="1">
        <f>MID(B23,FIND("-",B23)+1,FIND("-",B23,FIND("-",B23)+1)-FIND("-",B23)-1)</f>
        <v/>
      </c>
      <c r="G23" s="1">
        <f>IF(ISERROR(FIND("-D-",B23)),"","X")</f>
        <v/>
      </c>
      <c r="H23" s="1">
        <f>IF(ISERROR(FIND("-C-",B23)),"","X")</f>
        <v/>
      </c>
      <c r="I23" s="1">
        <f>IF(ISERROR(FIND("-E-",B23)),"","X")</f>
        <v/>
      </c>
      <c r="K23" s="1">
        <f>IF(ISERROR(FIND("P1",A23)),"","X")</f>
        <v/>
      </c>
      <c r="L23" s="1">
        <f>IF(ISERROR(FIND("P2",A23)),"","X")</f>
        <v/>
      </c>
      <c r="M23" s="1">
        <f>IF(ISERROR(FIND("P3",A23)),"","X")</f>
        <v/>
      </c>
      <c r="N23" s="1">
        <f>IF(ISERROR(FIND("RO",B23)),IF(ISERROR(FIND("CD",B23)),IF(ISERROR(FIND("CG",B23)),IF(ISERROR(FIND("AG",B23)),IF(ISERROR(FIND("RT",B23)),IF(ISERROR(FIND("RF",B23)),IF(ISERROR(FIND("AM",B23)),IF(ISERROR(FIND("RP",B23)),"","ROLO FORA DE POSIÇÃO"),"ACUMULO DE MATERIAL"),"ROLO FALTANTE"),"ROLETE TRAVADO"),"DESGASTE NATURAL"),"CILINDRO GASTO"),"DEGOLADO"),"ROLAMENTO DANIFICADO")</f>
        <v/>
      </c>
      <c r="O23" s="1" t="n">
        <v>12007392</v>
      </c>
      <c r="P23" s="2" t="n">
        <v>46087</v>
      </c>
    </row>
    <row r="24">
      <c r="A24" s="1" t="inlineStr">
        <is>
          <t>P1 - Urgência</t>
        </is>
      </c>
      <c r="B24" s="1" t="inlineStr">
        <is>
          <t>127-GC-E-CG</t>
        </is>
      </c>
      <c r="C24" s="1" t="inlineStr">
        <is>
          <t>03CV016</t>
        </is>
      </c>
      <c r="D24" s="1">
        <f>LEFT(B24,FIND("-",B24)-1)</f>
        <v/>
      </c>
      <c r="E24" s="1">
        <f>MID(B24,FIND("-",B24)+1,FIND("-",B24,FIND("-",B24)+1)-FIND("-",B24)-1)</f>
        <v/>
      </c>
      <c r="G24" s="1">
        <f>IF(ISERROR(FIND("-D-",B24)),"","X")</f>
        <v/>
      </c>
      <c r="H24" s="1">
        <f>IF(ISERROR(FIND("-C-",B24)),"","X")</f>
        <v/>
      </c>
      <c r="I24" s="1">
        <f>IF(ISERROR(FIND("-E-",B24)),"","X")</f>
        <v/>
      </c>
      <c r="K24" s="1">
        <f>IF(ISERROR(FIND("P1",A24)),"","X")</f>
        <v/>
      </c>
      <c r="L24" s="1">
        <f>IF(ISERROR(FIND("P2",A24)),"","X")</f>
        <v/>
      </c>
      <c r="M24" s="1">
        <f>IF(ISERROR(FIND("P3",A24)),"","X")</f>
        <v/>
      </c>
      <c r="N24" s="1">
        <f>IF(ISERROR(FIND("RO",B24)),IF(ISERROR(FIND("CD",B24)),IF(ISERROR(FIND("CG",B24)),IF(ISERROR(FIND("AG",B24)),IF(ISERROR(FIND("RT",B24)),IF(ISERROR(FIND("RF",B24)),IF(ISERROR(FIND("AM",B24)),IF(ISERROR(FIND("RP",B24)),"","ROLO FORA DE POSIÇÃO"),"ACUMULO DE MATERIAL"),"ROLO FALTANTE"),"ROLETE TRAVADO"),"DESGASTE NATURAL"),"CILINDRO GASTO"),"DEGOLADO"),"ROLAMENTO DANIFICADO")</f>
        <v/>
      </c>
      <c r="O24" s="1" t="n">
        <v>12007401</v>
      </c>
      <c r="P24" s="2" t="n">
        <v>46087</v>
      </c>
    </row>
    <row r="25">
      <c r="A25" s="1" t="inlineStr">
        <is>
          <t>P1 - Urgência</t>
        </is>
      </c>
      <c r="B25" s="1" t="inlineStr">
        <is>
          <t>140-RP-D-FE</t>
        </is>
      </c>
      <c r="C25" s="1" t="inlineStr">
        <is>
          <t>03CV016</t>
        </is>
      </c>
      <c r="D25" s="1">
        <f>LEFT(B25,FIND("-",B25)-1)</f>
        <v/>
      </c>
      <c r="E25" s="1">
        <f>MID(B25,FIND("-",B25)+1,FIND("-",B25,FIND("-",B25)+1)-FIND("-",B25)-1)</f>
        <v/>
      </c>
      <c r="G25" s="1">
        <f>IF(ISERROR(FIND("-D-",B25)),"","X")</f>
        <v/>
      </c>
      <c r="H25" s="1">
        <f>IF(ISERROR(FIND("-C-",B25)),"","X")</f>
        <v/>
      </c>
      <c r="I25" s="1">
        <f>IF(ISERROR(FIND("-E-",B25)),"","X")</f>
        <v/>
      </c>
      <c r="K25" s="1">
        <f>IF(ISERROR(FIND("P1",A25)),"","X")</f>
        <v/>
      </c>
      <c r="L25" s="1">
        <f>IF(ISERROR(FIND("P2",A25)),"","X")</f>
        <v/>
      </c>
      <c r="M25" s="1">
        <f>IF(ISERROR(FIND("P3",A25)),"","X")</f>
        <v/>
      </c>
      <c r="N25" s="1">
        <f>IF(ISERROR(FIND("RO",B25)),IF(ISERROR(FIND("CD",B25)),IF(ISERROR(FIND("CG",B25)),IF(ISERROR(FIND("AG",B25)),IF(ISERROR(FIND("RT",B25)),IF(ISERROR(FIND("RF",B25)),IF(ISERROR(FIND("AM",B25)),IF(ISERROR(FIND("RP",B25)),"","ROLO FORA DE POSIÇÃO"),"ACUMULO DE MATERIAL"),"ROLO FALTANTE"),"ROLETE TRAVADO"),"DESGASTE NATURAL"),"CILINDRO GASTO"),"DEGOLADO"),"ROLAMENTO DANIFICADO")</f>
        <v/>
      </c>
      <c r="O25" s="1" t="n">
        <v>12007384</v>
      </c>
      <c r="P25" s="2" t="n">
        <v>46087</v>
      </c>
    </row>
    <row r="26">
      <c r="A26" s="1" t="inlineStr">
        <is>
          <t>P1 - Urgência</t>
        </is>
      </c>
      <c r="B26" s="1" t="inlineStr">
        <is>
          <t>140-RP-E-FE</t>
        </is>
      </c>
      <c r="C26" s="1" t="inlineStr">
        <is>
          <t>03CV016</t>
        </is>
      </c>
      <c r="D26" s="1">
        <f>LEFT(B26,FIND("-",B26)-1)</f>
        <v/>
      </c>
      <c r="E26" s="1">
        <f>MID(B26,FIND("-",B26)+1,FIND("-",B26,FIND("-",B26)+1)-FIND("-",B26)-1)</f>
        <v/>
      </c>
      <c r="G26" s="1">
        <f>IF(ISERROR(FIND("-D-",B26)),"","X")</f>
        <v/>
      </c>
      <c r="H26" s="1">
        <f>IF(ISERROR(FIND("-C-",B26)),"","X")</f>
        <v/>
      </c>
      <c r="I26" s="1">
        <f>IF(ISERROR(FIND("-E-",B26)),"","X")</f>
        <v/>
      </c>
      <c r="K26" s="1">
        <f>IF(ISERROR(FIND("P1",A26)),"","X")</f>
        <v/>
      </c>
      <c r="L26" s="1">
        <f>IF(ISERROR(FIND("P2",A26)),"","X")</f>
        <v/>
      </c>
      <c r="M26" s="1">
        <f>IF(ISERROR(FIND("P3",A26)),"","X")</f>
        <v/>
      </c>
      <c r="N26" s="1">
        <f>IF(ISERROR(FIND("RO",B26)),IF(ISERROR(FIND("CD",B26)),IF(ISERROR(FIND("CG",B26)),IF(ISERROR(FIND("AG",B26)),IF(ISERROR(FIND("RT",B26)),IF(ISERROR(FIND("RF",B26)),IF(ISERROR(FIND("AM",B26)),IF(ISERROR(FIND("RP",B26)),"","ROLO FORA DE POSIÇÃO"),"ACUMULO DE MATERIAL"),"ROLO FALTANTE"),"ROLETE TRAVADO"),"DESGASTE NATURAL"),"CILINDRO GASTO"),"DEGOLADO"),"ROLAMENTO DANIFICADO")</f>
        <v/>
      </c>
      <c r="O26" s="1" t="n">
        <v>12007403</v>
      </c>
      <c r="P26" s="2" t="n">
        <v>46087</v>
      </c>
    </row>
    <row r="27">
      <c r="A27" s="1" t="inlineStr">
        <is>
          <t>P1 - Urgência</t>
        </is>
      </c>
      <c r="B27" s="1" t="inlineStr">
        <is>
          <t>142-GR-D-FE</t>
        </is>
      </c>
      <c r="C27" s="1" t="inlineStr">
        <is>
          <t>03CV016</t>
        </is>
      </c>
      <c r="D27" s="1">
        <f>LEFT(B27,FIND("-",B27)-1)</f>
        <v/>
      </c>
      <c r="E27" s="1">
        <f>MID(B27,FIND("-",B27)+1,FIND("-",B27,FIND("-",B27)+1)-FIND("-",B27)-1)</f>
        <v/>
      </c>
      <c r="G27" s="1">
        <f>IF(ISERROR(FIND("-D-",B27)),"","X")</f>
        <v/>
      </c>
      <c r="H27" s="1">
        <f>IF(ISERROR(FIND("-C-",B27)),"","X")</f>
        <v/>
      </c>
      <c r="I27" s="1">
        <f>IF(ISERROR(FIND("-E-",B27)),"","X")</f>
        <v/>
      </c>
      <c r="K27" s="1">
        <f>IF(ISERROR(FIND("P1",A27)),"","X")</f>
        <v/>
      </c>
      <c r="L27" s="1">
        <f>IF(ISERROR(FIND("P2",A27)),"","X")</f>
        <v/>
      </c>
      <c r="M27" s="1">
        <f>IF(ISERROR(FIND("P3",A27)),"","X")</f>
        <v/>
      </c>
      <c r="N27" s="1">
        <f>IF(ISERROR(FIND("RO",B27)),IF(ISERROR(FIND("CD",B27)),IF(ISERROR(FIND("CG",B27)),IF(ISERROR(FIND("AG",B27)),IF(ISERROR(FIND("RT",B27)),IF(ISERROR(FIND("RF",B27)),IF(ISERROR(FIND("AM",B27)),IF(ISERROR(FIND("RP",B27)),"","ROLO FORA DE POSIÇÃO"),"ACUMULO DE MATERIAL"),"ROLO FALTANTE"),"ROLETE TRAVADO"),"DESGASTE NATURAL"),"CILINDRO GASTO"),"DEGOLADO"),"ROLAMENTO DANIFICADO")</f>
        <v/>
      </c>
      <c r="O27" s="1" t="n">
        <v>12007382</v>
      </c>
      <c r="P27" s="2" t="n">
        <v>46087</v>
      </c>
    </row>
    <row r="28">
      <c r="A28" s="1" t="inlineStr">
        <is>
          <t>P1 - Urgência</t>
        </is>
      </c>
      <c r="B28" s="1" t="inlineStr">
        <is>
          <t>199-RP-D-CG</t>
        </is>
      </c>
      <c r="C28" s="1" t="inlineStr">
        <is>
          <t>03CV016</t>
        </is>
      </c>
      <c r="D28" s="1">
        <f>LEFT(B28,FIND("-",B28)-1)</f>
        <v/>
      </c>
      <c r="E28" s="1">
        <f>MID(B28,FIND("-",B28)+1,FIND("-",B28,FIND("-",B28)+1)-FIND("-",B28)-1)</f>
        <v/>
      </c>
      <c r="G28" s="1">
        <f>IF(ISERROR(FIND("-D-",B28)),"","X")</f>
        <v/>
      </c>
      <c r="H28" s="1">
        <f>IF(ISERROR(FIND("-C-",B28)),"","X")</f>
        <v/>
      </c>
      <c r="I28" s="1">
        <f>IF(ISERROR(FIND("-E-",B28)),"","X")</f>
        <v/>
      </c>
      <c r="K28" s="1">
        <f>IF(ISERROR(FIND("P1",A28)),"","X")</f>
        <v/>
      </c>
      <c r="L28" s="1">
        <f>IF(ISERROR(FIND("P2",A28)),"","X")</f>
        <v/>
      </c>
      <c r="M28" s="1">
        <f>IF(ISERROR(FIND("P3",A28)),"","X")</f>
        <v/>
      </c>
      <c r="N28" s="1">
        <f>IF(ISERROR(FIND("RO",B28)),IF(ISERROR(FIND("CD",B28)),IF(ISERROR(FIND("CG",B28)),IF(ISERROR(FIND("AG",B28)),IF(ISERROR(FIND("RT",B28)),IF(ISERROR(FIND("RF",B28)),IF(ISERROR(FIND("AM",B28)),IF(ISERROR(FIND("RP",B28)),"","ROLO FORA DE POSIÇÃO"),"ACUMULO DE MATERIAL"),"ROLO FALTANTE"),"ROLETE TRAVADO"),"DESGASTE NATURAL"),"CILINDRO GASTO"),"DEGOLADO"),"ROLAMENTO DANIFICADO")</f>
        <v/>
      </c>
      <c r="O28" s="1" t="n">
        <v>12007380</v>
      </c>
      <c r="P28" s="2" t="n">
        <v>46087</v>
      </c>
    </row>
    <row r="29">
      <c r="A29" s="1" t="inlineStr">
        <is>
          <t>P1 - Urgência</t>
        </is>
      </c>
      <c r="B29" s="1" t="inlineStr">
        <is>
          <t>249-GC-E-CG</t>
        </is>
      </c>
      <c r="C29" s="1" t="inlineStr">
        <is>
          <t>03CV016</t>
        </is>
      </c>
      <c r="D29" s="1">
        <f>LEFT(B29,FIND("-",B29)-1)</f>
        <v/>
      </c>
      <c r="E29" s="1">
        <f>MID(B29,FIND("-",B29)+1,FIND("-",B29,FIND("-",B29)+1)-FIND("-",B29)-1)</f>
        <v/>
      </c>
      <c r="G29" s="1">
        <f>IF(ISERROR(FIND("-D-",B29)),"","X")</f>
        <v/>
      </c>
      <c r="H29" s="1">
        <f>IF(ISERROR(FIND("-C-",B29)),"","X")</f>
        <v/>
      </c>
      <c r="I29" s="1">
        <f>IF(ISERROR(FIND("-E-",B29)),"","X")</f>
        <v/>
      </c>
      <c r="K29" s="1">
        <f>IF(ISERROR(FIND("P1",A29)),"","X")</f>
        <v/>
      </c>
      <c r="L29" s="1">
        <f>IF(ISERROR(FIND("P2",A29)),"","X")</f>
        <v/>
      </c>
      <c r="M29" s="1">
        <f>IF(ISERROR(FIND("P3",A29)),"","X")</f>
        <v/>
      </c>
      <c r="N29" s="1">
        <f>IF(ISERROR(FIND("RO",B29)),IF(ISERROR(FIND("CD",B29)),IF(ISERROR(FIND("CG",B29)),IF(ISERROR(FIND("AG",B29)),IF(ISERROR(FIND("RT",B29)),IF(ISERROR(FIND("RF",B29)),IF(ISERROR(FIND("AM",B29)),IF(ISERROR(FIND("RP",B29)),"","ROLO FORA DE POSIÇÃO"),"ACUMULO DE MATERIAL"),"ROLO FALTANTE"),"ROLETE TRAVADO"),"DESGASTE NATURAL"),"CILINDRO GASTO"),"DEGOLADO"),"ROLAMENTO DANIFICADO")</f>
        <v/>
      </c>
      <c r="O29" s="1" t="n">
        <v>12007405</v>
      </c>
      <c r="P29" s="2" t="n">
        <v>46087</v>
      </c>
    </row>
    <row r="31">
      <c r="A31" s="1" t="inlineStr">
        <is>
          <t>P1 - Urgência</t>
        </is>
      </c>
      <c r="B31" s="1" t="inlineStr">
        <is>
          <t>20-RC-E-RT</t>
        </is>
      </c>
      <c r="C31" s="1" t="inlineStr">
        <is>
          <t>03CV017</t>
        </is>
      </c>
      <c r="D31" s="1">
        <f>LEFT(B31,FIND("-",B31)-1)</f>
        <v/>
      </c>
      <c r="E31" s="1">
        <f>MID(B31,FIND("-",B31)+1,FIND("-",B31,FIND("-",B31)+1)-FIND("-",B31)-1)</f>
        <v/>
      </c>
      <c r="G31" s="1">
        <f>IF(ISERROR(FIND("-D-",B31)),"","X")</f>
        <v/>
      </c>
      <c r="H31" s="1">
        <f>IF(ISERROR(FIND("-C-",B31)),"","X")</f>
        <v/>
      </c>
      <c r="I31" s="1">
        <f>IF(ISERROR(FIND("-E-",B31)),"","X")</f>
        <v/>
      </c>
      <c r="K31" s="1">
        <f>IF(ISERROR(FIND("P1",A31)),"","X")</f>
        <v/>
      </c>
      <c r="L31" s="1">
        <f>IF(ISERROR(FIND("P2",A31)),"","X")</f>
        <v/>
      </c>
      <c r="M31" s="1">
        <f>IF(ISERROR(FIND("P3",A31)),"","X")</f>
        <v/>
      </c>
      <c r="N31" s="1">
        <f>IF(ISERROR(FIND("RO",B31)),IF(ISERROR(FIND("CD",B31)),IF(ISERROR(FIND("CG",B31)),IF(ISERROR(FIND("AG",B31)),IF(ISERROR(FIND("RT",B31)),IF(ISERROR(FIND("RF",B31)),IF(ISERROR(FIND("AM",B31)),IF(ISERROR(FIND("RP",B31)),"","ROLO FORA DE POSIÇÃO"),"ACUMULO DE MATERIAL"),"ROLO FALTANTE"),"ROLETE TRAVADO"),"DESGASTE NATURAL"),"CILINDRO GASTO"),"DEGOLADO"),"ROLAMENTO DANIFICADO")</f>
        <v/>
      </c>
      <c r="O31" s="1" t="n">
        <v>12007373</v>
      </c>
      <c r="P31" s="2" t="n">
        <v>46087</v>
      </c>
    </row>
    <row r="32">
      <c r="A32" s="1" t="inlineStr">
        <is>
          <t>P1 - Urgência</t>
        </is>
      </c>
      <c r="B32" s="1" t="inlineStr">
        <is>
          <t>32-RC-E-RO</t>
        </is>
      </c>
      <c r="C32" s="1" t="inlineStr">
        <is>
          <t>03CV017</t>
        </is>
      </c>
      <c r="D32" s="1">
        <f>LEFT(B32,FIND("-",B32)-1)</f>
        <v/>
      </c>
      <c r="E32" s="1">
        <f>MID(B32,FIND("-",B32)+1,FIND("-",B32,FIND("-",B32)+1)-FIND("-",B32)-1)</f>
        <v/>
      </c>
      <c r="G32" s="1">
        <f>IF(ISERROR(FIND("-D-",B32)),"","X")</f>
        <v/>
      </c>
      <c r="H32" s="1">
        <f>IF(ISERROR(FIND("-C-",B32)),"","X")</f>
        <v/>
      </c>
      <c r="I32" s="1">
        <f>IF(ISERROR(FIND("-E-",B32)),"","X")</f>
        <v/>
      </c>
      <c r="K32" s="1">
        <f>IF(ISERROR(FIND("P1",A32)),"","X")</f>
        <v/>
      </c>
      <c r="L32" s="1">
        <f>IF(ISERROR(FIND("P2",A32)),"","X")</f>
        <v/>
      </c>
      <c r="M32" s="1">
        <f>IF(ISERROR(FIND("P3",A32)),"","X")</f>
        <v/>
      </c>
      <c r="N32" s="1">
        <f>IF(ISERROR(FIND("RO",B32)),IF(ISERROR(FIND("CD",B32)),IF(ISERROR(FIND("CG",B32)),IF(ISERROR(FIND("AG",B32)),IF(ISERROR(FIND("RT",B32)),IF(ISERROR(FIND("RF",B32)),IF(ISERROR(FIND("AM",B32)),IF(ISERROR(FIND("RP",B32)),"","ROLO FORA DE POSIÇÃO"),"ACUMULO DE MATERIAL"),"ROLO FALTANTE"),"ROLETE TRAVADO"),"DESGASTE NATURAL"),"CILINDRO GASTO"),"DEGOLADO"),"ROLAMENTO DANIFICADO")</f>
        <v/>
      </c>
      <c r="O32" s="1" t="n">
        <v>12007372</v>
      </c>
      <c r="P32" s="2" t="n">
        <v>46087</v>
      </c>
    </row>
    <row r="33">
      <c r="A33" s="1" t="inlineStr">
        <is>
          <t>P1 - Urgência</t>
        </is>
      </c>
      <c r="B33" s="1" t="inlineStr">
        <is>
          <t>133-RC-E-RT</t>
        </is>
      </c>
      <c r="C33" s="1" t="inlineStr">
        <is>
          <t>03CV017</t>
        </is>
      </c>
      <c r="D33" s="1">
        <f>LEFT(B33,FIND("-",B33)-1)</f>
        <v/>
      </c>
      <c r="E33" s="1">
        <f>MID(B33,FIND("-",B33)+1,FIND("-",B33,FIND("-",B33)+1)-FIND("-",B33)-1)</f>
        <v/>
      </c>
      <c r="G33" s="1">
        <f>IF(ISERROR(FIND("-D-",B33)),"","X")</f>
        <v/>
      </c>
      <c r="H33" s="1">
        <f>IF(ISERROR(FIND("-C-",B33)),"","X")</f>
        <v/>
      </c>
      <c r="I33" s="1">
        <f>IF(ISERROR(FIND("-E-",B33)),"","X")</f>
        <v/>
      </c>
      <c r="K33" s="1">
        <f>IF(ISERROR(FIND("P1",A33)),"","X")</f>
        <v/>
      </c>
      <c r="L33" s="1">
        <f>IF(ISERROR(FIND("P2",A33)),"","X")</f>
        <v/>
      </c>
      <c r="M33" s="1">
        <f>IF(ISERROR(FIND("P3",A33)),"","X")</f>
        <v/>
      </c>
      <c r="N33" s="1">
        <f>IF(ISERROR(FIND("RO",B33)),IF(ISERROR(FIND("CD",B33)),IF(ISERROR(FIND("CG",B33)),IF(ISERROR(FIND("AG",B33)),IF(ISERROR(FIND("RT",B33)),IF(ISERROR(FIND("RF",B33)),IF(ISERROR(FIND("AM",B33)),IF(ISERROR(FIND("RP",B33)),"","ROLO FORA DE POSIÇÃO"),"ACUMULO DE MATERIAL"),"ROLO FALTANTE"),"ROLETE TRAVADO"),"DESGASTE NATURAL"),"CILINDRO GASTO"),"DEGOLADO"),"ROLAMENTO DANIFICADO")</f>
        <v/>
      </c>
      <c r="O33" s="1" t="n">
        <v>12007371</v>
      </c>
      <c r="P33" s="2" t="n">
        <v>46087</v>
      </c>
    </row>
    <row r="35">
      <c r="A35" s="1" t="inlineStr">
        <is>
          <t>P1 - Urgência</t>
        </is>
      </c>
      <c r="B35" s="1" t="inlineStr">
        <is>
          <t>16-GR-D-CG</t>
        </is>
      </c>
      <c r="C35" s="1" t="inlineStr">
        <is>
          <t>03CV018</t>
        </is>
      </c>
      <c r="D35" s="1">
        <f>LEFT(B35,FIND("-",B35)-1)</f>
        <v/>
      </c>
      <c r="E35" s="1">
        <f>MID(B35,FIND("-",B35)+1,FIND("-",B35,FIND("-",B35)+1)-FIND("-",B35)-1)</f>
        <v/>
      </c>
      <c r="G35" s="1">
        <f>IF(ISERROR(FIND("-D-",B35)),"","X")</f>
        <v/>
      </c>
      <c r="H35" s="1">
        <f>IF(ISERROR(FIND("-C-",B35)),"","X")</f>
        <v/>
      </c>
      <c r="I35" s="1">
        <f>IF(ISERROR(FIND("-E-",B35)),"","X")</f>
        <v/>
      </c>
      <c r="K35" s="1">
        <f>IF(ISERROR(FIND("P1",A35)),"","X")</f>
        <v/>
      </c>
      <c r="L35" s="1">
        <f>IF(ISERROR(FIND("P2",A35)),"","X")</f>
        <v/>
      </c>
      <c r="M35" s="1">
        <f>IF(ISERROR(FIND("P3",A35)),"","X")</f>
        <v/>
      </c>
      <c r="N35" s="1">
        <f>IF(ISERROR(FIND("RO",B35)),IF(ISERROR(FIND("CD",B35)),IF(ISERROR(FIND("CG",B35)),IF(ISERROR(FIND("AG",B35)),IF(ISERROR(FIND("RT",B35)),IF(ISERROR(FIND("RF",B35)),IF(ISERROR(FIND("AM",B35)),IF(ISERROR(FIND("RP",B35)),"","ROLO FORA DE POSIÇÃO"),"ACUMULO DE MATERIAL"),"ROLO FALTANTE"),"ROLETE TRAVADO"),"DESGASTE NATURAL"),"CILINDRO GASTO"),"DEGOLADO"),"ROLAMENTO DANIFICADO")</f>
        <v/>
      </c>
      <c r="O35" s="1" t="n">
        <v>12007398</v>
      </c>
      <c r="P35" s="2" t="n">
        <v>46087</v>
      </c>
    </row>
    <row r="36">
      <c r="A36" s="1" t="inlineStr">
        <is>
          <t>P1 - Urgência</t>
        </is>
      </c>
      <c r="B36" s="1" t="inlineStr">
        <is>
          <t>41-RC-D-RO</t>
        </is>
      </c>
      <c r="C36" s="1" t="inlineStr">
        <is>
          <t>03CV018</t>
        </is>
      </c>
      <c r="D36" s="1">
        <f>LEFT(B36,FIND("-",B36)-1)</f>
        <v/>
      </c>
      <c r="E36" s="1">
        <f>MID(B36,FIND("-",B36)+1,FIND("-",B36,FIND("-",B36)+1)-FIND("-",B36)-1)</f>
        <v/>
      </c>
      <c r="G36" s="1">
        <f>IF(ISERROR(FIND("-D-",B36)),"","X")</f>
        <v/>
      </c>
      <c r="H36" s="1">
        <f>IF(ISERROR(FIND("-C-",B36)),"","X")</f>
        <v/>
      </c>
      <c r="I36" s="1">
        <f>IF(ISERROR(FIND("-E-",B36)),"","X")</f>
        <v/>
      </c>
      <c r="K36" s="1">
        <f>IF(ISERROR(FIND("P1",A36)),"","X")</f>
        <v/>
      </c>
      <c r="L36" s="1">
        <f>IF(ISERROR(FIND("P2",A36)),"","X")</f>
        <v/>
      </c>
      <c r="M36" s="1">
        <f>IF(ISERROR(FIND("P3",A36)),"","X")</f>
        <v/>
      </c>
      <c r="N36" s="1">
        <f>IF(ISERROR(FIND("RO",B36)),IF(ISERROR(FIND("CD",B36)),IF(ISERROR(FIND("CG",B36)),IF(ISERROR(FIND("AG",B36)),IF(ISERROR(FIND("RT",B36)),IF(ISERROR(FIND("RF",B36)),IF(ISERROR(FIND("AM",B36)),IF(ISERROR(FIND("RP",B36)),"","ROLO FORA DE POSIÇÃO"),"ACUMULO DE MATERIAL"),"ROLO FALTANTE"),"ROLETE TRAVADO"),"DESGASTE NATURAL"),"CILINDRO GASTO"),"DEGOLADO"),"ROLAMENTO DANIFICADO")</f>
        <v/>
      </c>
      <c r="O36" s="1" t="n">
        <v>12007394</v>
      </c>
      <c r="P36" s="2" t="n">
        <v>46087</v>
      </c>
    </row>
    <row r="37">
      <c r="A37" s="1" t="inlineStr">
        <is>
          <t>P1 - Urgência</t>
        </is>
      </c>
      <c r="B37" s="1" t="inlineStr">
        <is>
          <t>72-GC-D-CG</t>
        </is>
      </c>
      <c r="C37" s="1" t="inlineStr">
        <is>
          <t>03CV018</t>
        </is>
      </c>
      <c r="D37" s="1">
        <f>LEFT(B37,FIND("-",B37)-1)</f>
        <v/>
      </c>
      <c r="E37" s="1">
        <f>MID(B37,FIND("-",B37)+1,FIND("-",B37,FIND("-",B37)+1)-FIND("-",B37)-1)</f>
        <v/>
      </c>
      <c r="G37" s="1">
        <f>IF(ISERROR(FIND("-D-",B37)),"","X")</f>
        <v/>
      </c>
      <c r="H37" s="1">
        <f>IF(ISERROR(FIND("-C-",B37)),"","X")</f>
        <v/>
      </c>
      <c r="I37" s="1">
        <f>IF(ISERROR(FIND("-E-",B37)),"","X")</f>
        <v/>
      </c>
      <c r="K37" s="1">
        <f>IF(ISERROR(FIND("P1",A37)),"","X")</f>
        <v/>
      </c>
      <c r="L37" s="1">
        <f>IF(ISERROR(FIND("P2",A37)),"","X")</f>
        <v/>
      </c>
      <c r="M37" s="1">
        <f>IF(ISERROR(FIND("P3",A37)),"","X")</f>
        <v/>
      </c>
      <c r="N37" s="1">
        <f>IF(ISERROR(FIND("RO",B37)),IF(ISERROR(FIND("CD",B37)),IF(ISERROR(FIND("CG",B37)),IF(ISERROR(FIND("AG",B37)),IF(ISERROR(FIND("RT",B37)),IF(ISERROR(FIND("RF",B37)),IF(ISERROR(FIND("AM",B37)),IF(ISERROR(FIND("RP",B37)),"","ROLO FORA DE POSIÇÃO"),"ACUMULO DE MATERIAL"),"ROLO FALTANTE"),"ROLETE TRAVADO"),"DESGASTE NATURAL"),"CILINDRO GASTO"),"DEGOLADO"),"ROLAMENTO DANIFICADO")</f>
        <v/>
      </c>
      <c r="O37" s="1" t="n">
        <v>12007396</v>
      </c>
      <c r="P37" s="2" t="n">
        <v>46087</v>
      </c>
    </row>
    <row r="38">
      <c r="A38" s="1" t="inlineStr">
        <is>
          <t>P1 - Urgência</t>
        </is>
      </c>
      <c r="B38" s="1" t="inlineStr">
        <is>
          <t>151-RR-E-CD</t>
        </is>
      </c>
      <c r="C38" s="1" t="inlineStr">
        <is>
          <t>03CV018</t>
        </is>
      </c>
      <c r="D38" s="1">
        <f>LEFT(B38,FIND("-",B38)-1)</f>
        <v/>
      </c>
      <c r="E38" s="1">
        <f>MID(B38,FIND("-",B38)+1,FIND("-",B38,FIND("-",B38)+1)-FIND("-",B38)-1)</f>
        <v/>
      </c>
      <c r="G38" s="1">
        <f>IF(ISERROR(FIND("-D-",B38)),"","X")</f>
        <v/>
      </c>
      <c r="H38" s="1">
        <f>IF(ISERROR(FIND("-C-",B38)),"","X")</f>
        <v/>
      </c>
      <c r="I38" s="1">
        <f>IF(ISERROR(FIND("-E-",B38)),"","X")</f>
        <v/>
      </c>
      <c r="K38" s="1">
        <f>IF(ISERROR(FIND("P1",A38)),"","X")</f>
        <v/>
      </c>
      <c r="L38" s="1">
        <f>IF(ISERROR(FIND("P2",A38)),"","X")</f>
        <v/>
      </c>
      <c r="M38" s="1">
        <f>IF(ISERROR(FIND("P3",A38)),"","X")</f>
        <v/>
      </c>
      <c r="N38" s="1">
        <f>IF(ISERROR(FIND("RO",B38)),IF(ISERROR(FIND("CD",B38)),IF(ISERROR(FIND("CG",B38)),IF(ISERROR(FIND("AG",B38)),IF(ISERROR(FIND("RT",B38)),IF(ISERROR(FIND("RF",B38)),IF(ISERROR(FIND("AM",B38)),IF(ISERROR(FIND("RP",B38)),"","ROLO FORA DE POSIÇÃO"),"ACUMULO DE MATERIAL"),"ROLO FALTANTE"),"ROLETE TRAVADO"),"DESGASTE NATURAL"),"CILINDRO GASTO"),"DEGOLADO"),"ROLAMENTO DANIFICADO")</f>
        <v/>
      </c>
      <c r="O38" s="1" t="n">
        <v>12007378</v>
      </c>
      <c r="P38" s="2" t="n">
        <v>46087</v>
      </c>
    </row>
    <row r="39">
      <c r="A39" s="1" t="inlineStr">
        <is>
          <t>P1 - Urgência</t>
        </is>
      </c>
      <c r="B39" s="1" t="inlineStr">
        <is>
          <t>234-RR-D-RO</t>
        </is>
      </c>
      <c r="C39" s="1" t="inlineStr">
        <is>
          <t>03CV018</t>
        </is>
      </c>
      <c r="D39" s="1">
        <f>LEFT(B39,FIND("-",B39)-1)</f>
        <v/>
      </c>
      <c r="E39" s="1">
        <f>MID(B39,FIND("-",B39)+1,FIND("-",B39,FIND("-",B39)+1)-FIND("-",B39)-1)</f>
        <v/>
      </c>
      <c r="G39" s="1">
        <f>IF(ISERROR(FIND("-D-",B39)),"","X")</f>
        <v/>
      </c>
      <c r="H39" s="1">
        <f>IF(ISERROR(FIND("-C-",B39)),"","X")</f>
        <v/>
      </c>
      <c r="I39" s="1">
        <f>IF(ISERROR(FIND("-E-",B39)),"","X")</f>
        <v/>
      </c>
      <c r="K39" s="1">
        <f>IF(ISERROR(FIND("P1",A39)),"","X")</f>
        <v/>
      </c>
      <c r="L39" s="1">
        <f>IF(ISERROR(FIND("P2",A39)),"","X")</f>
        <v/>
      </c>
      <c r="M39" s="1">
        <f>IF(ISERROR(FIND("P3",A39)),"","X")</f>
        <v/>
      </c>
      <c r="N39" s="1">
        <f>IF(ISERROR(FIND("RO",B39)),IF(ISERROR(FIND("CD",B39)),IF(ISERROR(FIND("CG",B39)),IF(ISERROR(FIND("AG",B39)),IF(ISERROR(FIND("RT",B39)),IF(ISERROR(FIND("RF",B39)),IF(ISERROR(FIND("AM",B39)),IF(ISERROR(FIND("RP",B39)),"","ROLO FORA DE POSIÇÃO"),"ACUMULO DE MATERIAL"),"ROLO FALTANTE"),"ROLETE TRAVADO"),"DESGASTE NATURAL"),"CILINDRO GASTO"),"DEGOLADO"),"ROLAMENTO DANIFICADO")</f>
        <v/>
      </c>
      <c r="O39" s="1" t="n">
        <v>12007389</v>
      </c>
      <c r="P39" s="2" t="n">
        <v>46087</v>
      </c>
    </row>
    <row r="41">
      <c r="A41" s="1" t="inlineStr">
        <is>
          <t>P1 - Urgência</t>
        </is>
      </c>
      <c r="B41" s="1" t="inlineStr">
        <is>
          <t>06-RC-D-RO</t>
        </is>
      </c>
      <c r="C41" s="1" t="inlineStr">
        <is>
          <t>03CV020</t>
        </is>
      </c>
      <c r="D41" s="1">
        <f>LEFT(B41,FIND("-",B41)-1)</f>
        <v/>
      </c>
      <c r="E41" s="1">
        <f>MID(B41,FIND("-",B41)+1,FIND("-",B41,FIND("-",B41)+1)-FIND("-",B41)-1)</f>
        <v/>
      </c>
      <c r="G41" s="1">
        <f>IF(ISERROR(FIND("-D-",B41)),"","X")</f>
        <v/>
      </c>
      <c r="H41" s="1">
        <f>IF(ISERROR(FIND("-C-",B41)),"","X")</f>
        <v/>
      </c>
      <c r="I41" s="1">
        <f>IF(ISERROR(FIND("-E-",B41)),"","X")</f>
        <v/>
      </c>
      <c r="K41" s="1">
        <f>IF(ISERROR(FIND("P1",A41)),"","X")</f>
        <v/>
      </c>
      <c r="L41" s="1">
        <f>IF(ISERROR(FIND("P2",A41)),"","X")</f>
        <v/>
      </c>
      <c r="M41" s="1">
        <f>IF(ISERROR(FIND("P3",A41)),"","X")</f>
        <v/>
      </c>
      <c r="N41" s="1">
        <f>IF(ISERROR(FIND("RO",B41)),IF(ISERROR(FIND("CD",B41)),IF(ISERROR(FIND("CG",B41)),IF(ISERROR(FIND("AG",B41)),IF(ISERROR(FIND("RT",B41)),IF(ISERROR(FIND("RF",B41)),IF(ISERROR(FIND("AM",B41)),IF(ISERROR(FIND("RP",B41)),"","ROLO FORA DE POSIÇÃO"),"ACUMULO DE MATERIAL"),"ROLO FALTANTE"),"ROLETE TRAVADO"),"DESGASTE NATURAL"),"CILINDRO GASTO"),"DEGOLADO"),"ROLAMENTO DANIFICADO")</f>
        <v/>
      </c>
      <c r="O41" s="1" t="n">
        <v>12007393</v>
      </c>
      <c r="P41" s="2" t="n">
        <v>46087</v>
      </c>
    </row>
    <row r="42">
      <c r="A42" s="1" t="inlineStr">
        <is>
          <t>P1 - Urgência</t>
        </is>
      </c>
      <c r="B42" s="1" t="inlineStr">
        <is>
          <t>07-RC-D-RT</t>
        </is>
      </c>
      <c r="C42" s="1" t="inlineStr">
        <is>
          <t>03CV020</t>
        </is>
      </c>
      <c r="D42" s="1">
        <f>LEFT(B42,FIND("-",B42)-1)</f>
        <v/>
      </c>
      <c r="E42" s="1">
        <f>MID(B42,FIND("-",B42)+1,FIND("-",B42,FIND("-",B42)+1)-FIND("-",B42)-1)</f>
        <v/>
      </c>
      <c r="G42" s="1">
        <f>IF(ISERROR(FIND("-D-",B42)),"","X")</f>
        <v/>
      </c>
      <c r="H42" s="1">
        <f>IF(ISERROR(FIND("-C-",B42)),"","X")</f>
        <v/>
      </c>
      <c r="I42" s="1">
        <f>IF(ISERROR(FIND("-E-",B42)),"","X")</f>
        <v/>
      </c>
      <c r="K42" s="1">
        <f>IF(ISERROR(FIND("P1",A42)),"","X")</f>
        <v/>
      </c>
      <c r="L42" s="1">
        <f>IF(ISERROR(FIND("P2",A42)),"","X")</f>
        <v/>
      </c>
      <c r="M42" s="1">
        <f>IF(ISERROR(FIND("P3",A42)),"","X")</f>
        <v/>
      </c>
      <c r="N42" s="1">
        <f>IF(ISERROR(FIND("RO",B42)),IF(ISERROR(FIND("CD",B42)),IF(ISERROR(FIND("CG",B42)),IF(ISERROR(FIND("AG",B42)),IF(ISERROR(FIND("RT",B42)),IF(ISERROR(FIND("RF",B42)),IF(ISERROR(FIND("AM",B42)),IF(ISERROR(FIND("RP",B42)),"","ROLO FORA DE POSIÇÃO"),"ACUMULO DE MATERIAL"),"ROLO FALTANTE"),"ROLETE TRAVADO"),"DESGASTE NATURAL"),"CILINDRO GASTO"),"DEGOLADO"),"ROLAMENTO DANIFICADO")</f>
        <v/>
      </c>
      <c r="O42" s="1" t="n">
        <v>12007395</v>
      </c>
      <c r="P42" s="2" t="n">
        <v>46087</v>
      </c>
    </row>
    <row r="43">
      <c r="A43" s="1" t="inlineStr">
        <is>
          <t>P1 - Urgência</t>
        </is>
      </c>
      <c r="B43" s="1" t="inlineStr">
        <is>
          <t>23-RR-E-RO</t>
        </is>
      </c>
      <c r="C43" s="1" t="inlineStr">
        <is>
          <t>03CV020</t>
        </is>
      </c>
      <c r="D43" s="1">
        <f>LEFT(B43,FIND("-",B43)-1)</f>
        <v/>
      </c>
      <c r="E43" s="1">
        <f>MID(B43,FIND("-",B43)+1,FIND("-",B43,FIND("-",B43)+1)-FIND("-",B43)-1)</f>
        <v/>
      </c>
      <c r="G43" s="1">
        <f>IF(ISERROR(FIND("-D-",B43)),"","X")</f>
        <v/>
      </c>
      <c r="H43" s="1">
        <f>IF(ISERROR(FIND("-C-",B43)),"","X")</f>
        <v/>
      </c>
      <c r="I43" s="1">
        <f>IF(ISERROR(FIND("-E-",B43)),"","X")</f>
        <v/>
      </c>
      <c r="K43" s="1">
        <f>IF(ISERROR(FIND("P1",A43)),"","X")</f>
        <v/>
      </c>
      <c r="L43" s="1">
        <f>IF(ISERROR(FIND("P2",A43)),"","X")</f>
        <v/>
      </c>
      <c r="M43" s="1">
        <f>IF(ISERROR(FIND("P3",A43)),"","X")</f>
        <v/>
      </c>
      <c r="N43" s="1">
        <f>IF(ISERROR(FIND("RO",B43)),IF(ISERROR(FIND("CD",B43)),IF(ISERROR(FIND("CG",B43)),IF(ISERROR(FIND("AG",B43)),IF(ISERROR(FIND("RT",B43)),IF(ISERROR(FIND("RF",B43)),IF(ISERROR(FIND("AM",B43)),IF(ISERROR(FIND("RP",B43)),"","ROLO FORA DE POSIÇÃO"),"ACUMULO DE MATERIAL"),"ROLO FALTANTE"),"ROLETE TRAVADO"),"DESGASTE NATURAL"),"CILINDRO GASTO"),"DEGOLADO"),"ROLAMENTO DANIFICADO")</f>
        <v/>
      </c>
      <c r="O43" s="1" t="n">
        <v>12007406</v>
      </c>
      <c r="P43" s="2" t="n">
        <v>46087</v>
      </c>
    </row>
    <row r="44">
      <c r="A44" s="1" t="inlineStr">
        <is>
          <t>P1 - Urgência</t>
        </is>
      </c>
      <c r="B44" s="1" t="inlineStr">
        <is>
          <t>28-RR-D-RT</t>
        </is>
      </c>
      <c r="C44" s="1" t="inlineStr">
        <is>
          <t>03CV020</t>
        </is>
      </c>
      <c r="D44" s="1">
        <f>LEFT(B44,FIND("-",B44)-1)</f>
        <v/>
      </c>
      <c r="E44" s="1">
        <f>MID(B44,FIND("-",B44)+1,FIND("-",B44,FIND("-",B44)+1)-FIND("-",B44)-1)</f>
        <v/>
      </c>
      <c r="G44" s="1">
        <f>IF(ISERROR(FIND("-D-",B44)),"","X")</f>
        <v/>
      </c>
      <c r="H44" s="1">
        <f>IF(ISERROR(FIND("-C-",B44)),"","X")</f>
        <v/>
      </c>
      <c r="I44" s="1">
        <f>IF(ISERROR(FIND("-E-",B44)),"","X")</f>
        <v/>
      </c>
      <c r="K44" s="1">
        <f>IF(ISERROR(FIND("P1",A44)),"","X")</f>
        <v/>
      </c>
      <c r="L44" s="1">
        <f>IF(ISERROR(FIND("P2",A44)),"","X")</f>
        <v/>
      </c>
      <c r="M44" s="1">
        <f>IF(ISERROR(FIND("P3",A44)),"","X")</f>
        <v/>
      </c>
      <c r="N44" s="1">
        <f>IF(ISERROR(FIND("RO",B44)),IF(ISERROR(FIND("CD",B44)),IF(ISERROR(FIND("CG",B44)),IF(ISERROR(FIND("AG",B44)),IF(ISERROR(FIND("RT",B44)),IF(ISERROR(FIND("RF",B44)),IF(ISERROR(FIND("AM",B44)),IF(ISERROR(FIND("RP",B44)),"","ROLO FORA DE POSIÇÃO"),"ACUMULO DE MATERIAL"),"ROLO FALTANTE"),"ROLETE TRAVADO"),"DESGASTE NATURAL"),"CILINDRO GASTO"),"DEGOLADO"),"ROLAMENTO DANIFICADO")</f>
        <v/>
      </c>
      <c r="O44" s="1" t="n">
        <v>12007397</v>
      </c>
      <c r="P44" s="2" t="n">
        <v>46087</v>
      </c>
    </row>
    <row r="45">
      <c r="A45" s="1" t="inlineStr">
        <is>
          <t>P1 - Urgência</t>
        </is>
      </c>
      <c r="B45" s="1" t="inlineStr">
        <is>
          <t>97-RC-C-RO</t>
        </is>
      </c>
      <c r="C45" s="1" t="inlineStr">
        <is>
          <t>03CV020</t>
        </is>
      </c>
      <c r="D45" s="1">
        <f>LEFT(B45,FIND("-",B45)-1)</f>
        <v/>
      </c>
      <c r="E45" s="1">
        <f>MID(B45,FIND("-",B45)+1,FIND("-",B45,FIND("-",B45)+1)-FIND("-",B45)-1)</f>
        <v/>
      </c>
      <c r="G45" s="1">
        <f>IF(ISERROR(FIND("-D-",B45)),"","X")</f>
        <v/>
      </c>
      <c r="H45" s="1">
        <f>IF(ISERROR(FIND("-C-",B45)),"","X")</f>
        <v/>
      </c>
      <c r="I45" s="1">
        <f>IF(ISERROR(FIND("-E-",B45)),"","X")</f>
        <v/>
      </c>
      <c r="K45" s="1">
        <f>IF(ISERROR(FIND("P1",A45)),"","X")</f>
        <v/>
      </c>
      <c r="L45" s="1">
        <f>IF(ISERROR(FIND("P2",A45)),"","X")</f>
        <v/>
      </c>
      <c r="M45" s="1">
        <f>IF(ISERROR(FIND("P3",A45)),"","X")</f>
        <v/>
      </c>
      <c r="N45" s="1">
        <f>IF(ISERROR(FIND("RO",B45)),IF(ISERROR(FIND("CD",B45)),IF(ISERROR(FIND("CG",B45)),IF(ISERROR(FIND("AG",B45)),IF(ISERROR(FIND("RT",B45)),IF(ISERROR(FIND("RF",B45)),IF(ISERROR(FIND("AM",B45)),IF(ISERROR(FIND("RP",B45)),"","ROLO FORA DE POSIÇÃO"),"ACUMULO DE MATERIAL"),"ROLO FALTANTE"),"ROLETE TRAVADO"),"DESGASTE NATURAL"),"CILINDRO GASTO"),"DEGOLADO"),"ROLAMENTO DANIFICADO")</f>
        <v/>
      </c>
      <c r="O45" s="1" t="n">
        <v>12007399</v>
      </c>
      <c r="P45" s="2" t="n">
        <v>46087</v>
      </c>
    </row>
    <row r="46">
      <c r="A46" s="1" t="inlineStr">
        <is>
          <t>P1 - Urgência</t>
        </is>
      </c>
      <c r="B46" s="1" t="inlineStr">
        <is>
          <t>196-RR-D-AG</t>
        </is>
      </c>
      <c r="C46" s="1" t="inlineStr">
        <is>
          <t>03CV020</t>
        </is>
      </c>
      <c r="D46" s="1">
        <f>LEFT(B46,FIND("-",B46)-1)</f>
        <v/>
      </c>
      <c r="E46" s="1">
        <f>MID(B46,FIND("-",B46)+1,FIND("-",B46,FIND("-",B46)+1)-FIND("-",B46)-1)</f>
        <v/>
      </c>
      <c r="G46" s="1">
        <f>IF(ISERROR(FIND("-D-",B46)),"","X")</f>
        <v/>
      </c>
      <c r="H46" s="1">
        <f>IF(ISERROR(FIND("-C-",B46)),"","X")</f>
        <v/>
      </c>
      <c r="I46" s="1">
        <f>IF(ISERROR(FIND("-E-",B46)),"","X")</f>
        <v/>
      </c>
      <c r="K46" s="1">
        <f>IF(ISERROR(FIND("P1",A46)),"","X")</f>
        <v/>
      </c>
      <c r="L46" s="1">
        <f>IF(ISERROR(FIND("P2",A46)),"","X")</f>
        <v/>
      </c>
      <c r="M46" s="1">
        <f>IF(ISERROR(FIND("P3",A46)),"","X")</f>
        <v/>
      </c>
      <c r="N46" s="1">
        <f>IF(ISERROR(FIND("RO",B46)),IF(ISERROR(FIND("CD",B46)),IF(ISERROR(FIND("CG",B46)),IF(ISERROR(FIND("AG",B46)),IF(ISERROR(FIND("RT",B46)),IF(ISERROR(FIND("RF",B46)),IF(ISERROR(FIND("AM",B46)),IF(ISERROR(FIND("RP",B46)),"","ROLO FORA DE POSIÇÃO"),"ACUMULO DE MATERIAL"),"ROLO FALTANTE"),"ROLETE TRAVADO"),"DESGASTE NATURAL"),"CILINDRO GASTO"),"DEGOLADO"),"ROLAMENTO DANIFICADO")</f>
        <v/>
      </c>
      <c r="O46" s="1" t="n">
        <v>12007400</v>
      </c>
      <c r="P46" s="2" t="n">
        <v>46087</v>
      </c>
    </row>
    <row r="47">
      <c r="A47" s="1" t="inlineStr">
        <is>
          <t>P1 - Urgência</t>
        </is>
      </c>
      <c r="B47" s="1" t="inlineStr">
        <is>
          <t>219-RC-C-RO</t>
        </is>
      </c>
      <c r="C47" s="1" t="inlineStr">
        <is>
          <t>03CV020</t>
        </is>
      </c>
      <c r="D47" s="1">
        <f>LEFT(B47,FIND("-",B47)-1)</f>
        <v/>
      </c>
      <c r="E47" s="1">
        <f>MID(B47,FIND("-",B47)+1,FIND("-",B47,FIND("-",B47)+1)-FIND("-",B47)-1)</f>
        <v/>
      </c>
      <c r="G47" s="1">
        <f>IF(ISERROR(FIND("-D-",B47)),"","X")</f>
        <v/>
      </c>
      <c r="H47" s="1">
        <f>IF(ISERROR(FIND("-C-",B47)),"","X")</f>
        <v/>
      </c>
      <c r="I47" s="1">
        <f>IF(ISERROR(FIND("-E-",B47)),"","X")</f>
        <v/>
      </c>
      <c r="K47" s="1">
        <f>IF(ISERROR(FIND("P1",A47)),"","X")</f>
        <v/>
      </c>
      <c r="L47" s="1">
        <f>IF(ISERROR(FIND("P2",A47)),"","X")</f>
        <v/>
      </c>
      <c r="M47" s="1">
        <f>IF(ISERROR(FIND("P3",A47)),"","X")</f>
        <v/>
      </c>
      <c r="N47" s="1">
        <f>IF(ISERROR(FIND("RO",B47)),IF(ISERROR(FIND("CD",B47)),IF(ISERROR(FIND("CG",B47)),IF(ISERROR(FIND("AG",B47)),IF(ISERROR(FIND("RT",B47)),IF(ISERROR(FIND("RF",B47)),IF(ISERROR(FIND("AM",B47)),IF(ISERROR(FIND("RP",B47)),"","ROLO FORA DE POSIÇÃO"),"ACUMULO DE MATERIAL"),"ROLO FALTANTE"),"ROLETE TRAVADO"),"DESGASTE NATURAL"),"CILINDRO GASTO"),"DEGOLADO"),"ROLAMENTO DANIFICADO")</f>
        <v/>
      </c>
      <c r="O47" s="1" t="n">
        <v>12007402</v>
      </c>
      <c r="P47" s="2" t="n">
        <v>46087</v>
      </c>
    </row>
    <row r="48">
      <c r="A48" s="1" t="inlineStr">
        <is>
          <t>P1 - Urgência</t>
        </is>
      </c>
      <c r="B48" s="1" t="inlineStr">
        <is>
          <t>233-RC-C-RO</t>
        </is>
      </c>
      <c r="C48" s="1" t="inlineStr">
        <is>
          <t>03CV020</t>
        </is>
      </c>
      <c r="D48" s="1">
        <f>LEFT(B48,FIND("-",B48)-1)</f>
        <v/>
      </c>
      <c r="E48" s="1">
        <f>MID(B48,FIND("-",B48)+1,FIND("-",B48,FIND("-",B48)+1)-FIND("-",B48)-1)</f>
        <v/>
      </c>
      <c r="G48" s="1">
        <f>IF(ISERROR(FIND("-D-",B48)),"","X")</f>
        <v/>
      </c>
      <c r="H48" s="1">
        <f>IF(ISERROR(FIND("-C-",B48)),"","X")</f>
        <v/>
      </c>
      <c r="I48" s="1">
        <f>IF(ISERROR(FIND("-E-",B48)),"","X")</f>
        <v/>
      </c>
      <c r="K48" s="1">
        <f>IF(ISERROR(FIND("P1",A48)),"","X")</f>
        <v/>
      </c>
      <c r="L48" s="1">
        <f>IF(ISERROR(FIND("P2",A48)),"","X")</f>
        <v/>
      </c>
      <c r="M48" s="1">
        <f>IF(ISERROR(FIND("P3",A48)),"","X")</f>
        <v/>
      </c>
      <c r="N48" s="1">
        <f>IF(ISERROR(FIND("RO",B48)),IF(ISERROR(FIND("CD",B48)),IF(ISERROR(FIND("CG",B48)),IF(ISERROR(FIND("AG",B48)),IF(ISERROR(FIND("RT",B48)),IF(ISERROR(FIND("RF",B48)),IF(ISERROR(FIND("AM",B48)),IF(ISERROR(FIND("RP",B48)),"","ROLO FORA DE POSIÇÃO"),"ACUMULO DE MATERIAL"),"ROLO FALTANTE"),"ROLETE TRAVADO"),"DESGASTE NATURAL"),"CILINDRO GASTO"),"DEGOLADO"),"ROLAMENTO DANIFICADO")</f>
        <v/>
      </c>
      <c r="O48" s="1" t="n">
        <v>12007409</v>
      </c>
      <c r="P48" s="2" t="n">
        <v>46087</v>
      </c>
    </row>
    <row r="49">
      <c r="A49" s="1" t="inlineStr">
        <is>
          <t>P1 - Urgência</t>
        </is>
      </c>
      <c r="B49" s="1" t="inlineStr">
        <is>
          <t>303-RR-D-RO</t>
        </is>
      </c>
      <c r="C49" s="1" t="inlineStr">
        <is>
          <t>03CV020</t>
        </is>
      </c>
      <c r="D49" s="1">
        <f>LEFT(B49,FIND("-",B49)-1)</f>
        <v/>
      </c>
      <c r="E49" s="1">
        <f>MID(B49,FIND("-",B49)+1,FIND("-",B49,FIND("-",B49)+1)-FIND("-",B49)-1)</f>
        <v/>
      </c>
      <c r="G49" s="1">
        <f>IF(ISERROR(FIND("-D-",B49)),"","X")</f>
        <v/>
      </c>
      <c r="H49" s="1">
        <f>IF(ISERROR(FIND("-C-",B49)),"","X")</f>
        <v/>
      </c>
      <c r="I49" s="1">
        <f>IF(ISERROR(FIND("-E-",B49)),"","X")</f>
        <v/>
      </c>
      <c r="K49" s="1">
        <f>IF(ISERROR(FIND("P1",A49)),"","X")</f>
        <v/>
      </c>
      <c r="L49" s="1">
        <f>IF(ISERROR(FIND("P2",A49)),"","X")</f>
        <v/>
      </c>
      <c r="M49" s="1">
        <f>IF(ISERROR(FIND("P3",A49)),"","X")</f>
        <v/>
      </c>
      <c r="N49" s="1">
        <f>IF(ISERROR(FIND("RO",B49)),IF(ISERROR(FIND("CD",B49)),IF(ISERROR(FIND("CG",B49)),IF(ISERROR(FIND("AG",B49)),IF(ISERROR(FIND("RT",B49)),IF(ISERROR(FIND("RF",B49)),IF(ISERROR(FIND("AM",B49)),IF(ISERROR(FIND("RP",B49)),"","ROLO FORA DE POSIÇÃO"),"ACUMULO DE MATERIAL"),"ROLO FALTANTE"),"ROLETE TRAVADO"),"DESGASTE NATURAL"),"CILINDRO GASTO"),"DEGOLADO"),"ROLAMENTO DANIFICADO")</f>
        <v/>
      </c>
      <c r="O49" s="1" t="n">
        <v>12007449</v>
      </c>
      <c r="P49" s="2" t="n">
        <v>46087</v>
      </c>
    </row>
    <row r="51">
      <c r="A51" s="1" t="inlineStr">
        <is>
          <t>P1 - Urgência</t>
        </is>
      </c>
      <c r="B51" s="1" t="inlineStr">
        <is>
          <t>06-RI-D-RO</t>
        </is>
      </c>
      <c r="C51" s="1" t="inlineStr">
        <is>
          <t>03CV021</t>
        </is>
      </c>
      <c r="D51" s="1">
        <f>LEFT(B51,FIND("-",B51)-1)</f>
        <v/>
      </c>
      <c r="E51" s="1">
        <f>MID(B51,FIND("-",B51)+1,FIND("-",B51,FIND("-",B51)+1)-FIND("-",B51)-1)</f>
        <v/>
      </c>
      <c r="G51" s="1">
        <f>IF(ISERROR(FIND("-D-",B51)),"","X")</f>
        <v/>
      </c>
      <c r="H51" s="1">
        <f>IF(ISERROR(FIND("-C-",B51)),"","X")</f>
        <v/>
      </c>
      <c r="I51" s="1">
        <f>IF(ISERROR(FIND("-E-",B51)),"","X")</f>
        <v/>
      </c>
      <c r="K51" s="1">
        <f>IF(ISERROR(FIND("P1",A51)),"","X")</f>
        <v/>
      </c>
      <c r="L51" s="1">
        <f>IF(ISERROR(FIND("P2",A51)),"","X")</f>
        <v/>
      </c>
      <c r="M51" s="1">
        <f>IF(ISERROR(FIND("P3",A51)),"","X")</f>
        <v/>
      </c>
      <c r="N51" s="1">
        <f>IF(ISERROR(FIND("RO",B51)),IF(ISERROR(FIND("CD",B51)),IF(ISERROR(FIND("CG",B51)),IF(ISERROR(FIND("AG",B51)),IF(ISERROR(FIND("RT",B51)),IF(ISERROR(FIND("RF",B51)),IF(ISERROR(FIND("AM",B51)),IF(ISERROR(FIND("RP",B51)),"","ROLO FORA DE POSIÇÃO"),"ACUMULO DE MATERIAL"),"ROLO FALTANTE"),"ROLETE TRAVADO"),"DESGASTE NATURAL"),"CILINDRO GASTO"),"DEGOLADO"),"ROLAMENTO DANIFICADO")</f>
        <v/>
      </c>
      <c r="O51" s="1" t="n">
        <v>12007443</v>
      </c>
      <c r="P51" s="2" t="n">
        <v>46087</v>
      </c>
    </row>
    <row r="52">
      <c r="A52" s="1" t="inlineStr">
        <is>
          <t>P1 - Urgência</t>
        </is>
      </c>
      <c r="B52" s="1" t="inlineStr">
        <is>
          <t>24-RU-C-RT</t>
        </is>
      </c>
      <c r="C52" s="1" t="inlineStr">
        <is>
          <t>03CV021</t>
        </is>
      </c>
      <c r="D52" s="1">
        <f>LEFT(B52,FIND("-",B52)-1)</f>
        <v/>
      </c>
      <c r="E52" s="1">
        <f>MID(B52,FIND("-",B52)+1,FIND("-",B52,FIND("-",B52)+1)-FIND("-",B52)-1)</f>
        <v/>
      </c>
      <c r="G52" s="1">
        <f>IF(ISERROR(FIND("-D-",B52)),"","X")</f>
        <v/>
      </c>
      <c r="H52" s="1">
        <f>IF(ISERROR(FIND("-C-",B52)),"","X")</f>
        <v/>
      </c>
      <c r="I52" s="1">
        <f>IF(ISERROR(FIND("-E-",B52)),"","X")</f>
        <v/>
      </c>
      <c r="K52" s="1">
        <f>IF(ISERROR(FIND("P1",A52)),"","X")</f>
        <v/>
      </c>
      <c r="L52" s="1">
        <f>IF(ISERROR(FIND("P2",A52)),"","X")</f>
        <v/>
      </c>
      <c r="M52" s="1">
        <f>IF(ISERROR(FIND("P3",A52)),"","X")</f>
        <v/>
      </c>
      <c r="N52" s="1">
        <f>IF(ISERROR(FIND("RO",B52)),IF(ISERROR(FIND("CD",B52)),IF(ISERROR(FIND("CG",B52)),IF(ISERROR(FIND("AG",B52)),IF(ISERROR(FIND("RT",B52)),IF(ISERROR(FIND("RF",B52)),IF(ISERROR(FIND("AM",B52)),IF(ISERROR(FIND("RP",B52)),"","ROLO FORA DE POSIÇÃO"),"ACUMULO DE MATERIAL"),"ROLO FALTANTE"),"ROLETE TRAVADO"),"DESGASTE NATURAL"),"CILINDRO GASTO"),"DEGOLADO"),"ROLAMENTO DANIFICADO")</f>
        <v/>
      </c>
      <c r="O52" s="1" t="n">
        <v>12007457</v>
      </c>
      <c r="P52" s="2" t="n">
        <v>46087</v>
      </c>
    </row>
    <row r="54">
      <c r="A54" s="1" t="inlineStr">
        <is>
          <t>P1 - Urgência</t>
        </is>
      </c>
      <c r="B54" s="1" t="inlineStr">
        <is>
          <t>139-RC-D-RO</t>
        </is>
      </c>
      <c r="C54" s="1" t="inlineStr">
        <is>
          <t>03CV022</t>
        </is>
      </c>
      <c r="D54" s="1">
        <f>LEFT(B54,FIND("-",B54)-1)</f>
        <v/>
      </c>
      <c r="E54" s="1">
        <f>MID(B54,FIND("-",B54)+1,FIND("-",B54,FIND("-",B54)+1)-FIND("-",B54)-1)</f>
        <v/>
      </c>
      <c r="G54" s="1">
        <f>IF(ISERROR(FIND("-D-",B54)),"","X")</f>
        <v/>
      </c>
      <c r="H54" s="1">
        <f>IF(ISERROR(FIND("-C-",B54)),"","X")</f>
        <v/>
      </c>
      <c r="I54" s="1">
        <f>IF(ISERROR(FIND("-E-",B54)),"","X")</f>
        <v/>
      </c>
      <c r="K54" s="1">
        <f>IF(ISERROR(FIND("P1",A54)),"","X")</f>
        <v/>
      </c>
      <c r="L54" s="1">
        <f>IF(ISERROR(FIND("P2",A54)),"","X")</f>
        <v/>
      </c>
      <c r="M54" s="1">
        <f>IF(ISERROR(FIND("P3",A54)),"","X")</f>
        <v/>
      </c>
      <c r="N54" s="1">
        <f>IF(ISERROR(FIND("RO",B54)),IF(ISERROR(FIND("CD",B54)),IF(ISERROR(FIND("CG",B54)),IF(ISERROR(FIND("AG",B54)),IF(ISERROR(FIND("RT",B54)),IF(ISERROR(FIND("RF",B54)),IF(ISERROR(FIND("AM",B54)),IF(ISERROR(FIND("RP",B54)),"","ROLO FORA DE POSIÇÃO"),"ACUMULO DE MATERIAL"),"ROLO FALTANTE"),"ROLETE TRAVADO"),"DESGASTE NATURAL"),"CILINDRO GASTO"),"DEGOLADO"),"ROLAMENTO DANIFICADO")</f>
        <v/>
      </c>
      <c r="O54" s="1" t="n">
        <v>12007431</v>
      </c>
      <c r="P54" s="2" t="n">
        <v>46087</v>
      </c>
    </row>
    <row r="55">
      <c r="A55" s="1" t="inlineStr">
        <is>
          <t>P1 - Urgência</t>
        </is>
      </c>
      <c r="B55" s="1" t="inlineStr">
        <is>
          <t>139-RC-C-RO</t>
        </is>
      </c>
      <c r="C55" s="1" t="inlineStr">
        <is>
          <t>03CV022</t>
        </is>
      </c>
      <c r="D55" s="1">
        <f>LEFT(B55,FIND("-",B55)-1)</f>
        <v/>
      </c>
      <c r="E55" s="1">
        <f>MID(B55,FIND("-",B55)+1,FIND("-",B55,FIND("-",B55)+1)-FIND("-",B55)-1)</f>
        <v/>
      </c>
      <c r="G55" s="1">
        <f>IF(ISERROR(FIND("-D-",B55)),"","X")</f>
        <v/>
      </c>
      <c r="H55" s="1">
        <f>IF(ISERROR(FIND("-C-",B55)),"","X")</f>
        <v/>
      </c>
      <c r="I55" s="1">
        <f>IF(ISERROR(FIND("-E-",B55)),"","X")</f>
        <v/>
      </c>
      <c r="K55" s="1">
        <f>IF(ISERROR(FIND("P1",A55)),"","X")</f>
        <v/>
      </c>
      <c r="L55" s="1">
        <f>IF(ISERROR(FIND("P2",A55)),"","X")</f>
        <v/>
      </c>
      <c r="M55" s="1">
        <f>IF(ISERROR(FIND("P3",A55)),"","X")</f>
        <v/>
      </c>
      <c r="N55" s="1">
        <f>IF(ISERROR(FIND("RO",B55)),IF(ISERROR(FIND("CD",B55)),IF(ISERROR(FIND("CG",B55)),IF(ISERROR(FIND("AG",B55)),IF(ISERROR(FIND("RT",B55)),IF(ISERROR(FIND("RF",B55)),IF(ISERROR(FIND("AM",B55)),IF(ISERROR(FIND("RP",B55)),"","ROLO FORA DE POSIÇÃO"),"ACUMULO DE MATERIAL"),"ROLO FALTANTE"),"ROLETE TRAVADO"),"DESGASTE NATURAL"),"CILINDRO GASTO"),"DEGOLADO"),"ROLAMENTO DANIFICADO")</f>
        <v/>
      </c>
      <c r="O55" s="1" t="n">
        <v>12007434</v>
      </c>
      <c r="P55" s="2" t="n">
        <v>46087</v>
      </c>
    </row>
    <row r="56">
      <c r="A56" s="1" t="inlineStr">
        <is>
          <t>P1 - Urgência</t>
        </is>
      </c>
      <c r="B56" s="1" t="inlineStr">
        <is>
          <t>146-RP-E-FE</t>
        </is>
      </c>
      <c r="C56" s="1" t="inlineStr">
        <is>
          <t>03CV022</t>
        </is>
      </c>
      <c r="D56" s="1">
        <f>LEFT(B56,FIND("-",B56)-1)</f>
        <v/>
      </c>
      <c r="E56" s="1">
        <f>MID(B56,FIND("-",B56)+1,FIND("-",B56,FIND("-",B56)+1)-FIND("-",B56)-1)</f>
        <v/>
      </c>
      <c r="G56" s="1">
        <f>IF(ISERROR(FIND("-D-",B56)),"","X")</f>
        <v/>
      </c>
      <c r="H56" s="1">
        <f>IF(ISERROR(FIND("-C-",B56)),"","X")</f>
        <v/>
      </c>
      <c r="I56" s="1">
        <f>IF(ISERROR(FIND("-E-",B56)),"","X")</f>
        <v/>
      </c>
      <c r="K56" s="1">
        <f>IF(ISERROR(FIND("P1",A56)),"","X")</f>
        <v/>
      </c>
      <c r="L56" s="1">
        <f>IF(ISERROR(FIND("P2",A56)),"","X")</f>
        <v/>
      </c>
      <c r="M56" s="1">
        <f>IF(ISERROR(FIND("P3",A56)),"","X")</f>
        <v/>
      </c>
      <c r="N56" s="1">
        <f>IF(ISERROR(FIND("RO",B56)),IF(ISERROR(FIND("CD",B56)),IF(ISERROR(FIND("CG",B56)),IF(ISERROR(FIND("AG",B56)),IF(ISERROR(FIND("RT",B56)),IF(ISERROR(FIND("RF",B56)),IF(ISERROR(FIND("AM",B56)),IF(ISERROR(FIND("RP",B56)),"","ROLO FORA DE POSIÇÃO"),"ACUMULO DE MATERIAL"),"ROLO FALTANTE"),"ROLETE TRAVADO"),"DESGASTE NATURAL"),"CILINDRO GASTO"),"DEGOLADO"),"ROLAMENTO DANIFICADO")</f>
        <v/>
      </c>
      <c r="O56" s="1" t="n">
        <v>12007433</v>
      </c>
      <c r="P56" s="2" t="n">
        <v>46087</v>
      </c>
    </row>
    <row r="57">
      <c r="A57" s="1" t="inlineStr">
        <is>
          <t>P1 - Urgência</t>
        </is>
      </c>
      <c r="B57" s="1" t="inlineStr">
        <is>
          <t>162-RC-D-RO</t>
        </is>
      </c>
      <c r="C57" s="1" t="inlineStr">
        <is>
          <t>03CV022</t>
        </is>
      </c>
      <c r="D57" s="1">
        <f>LEFT(B57,FIND("-",B57)-1)</f>
        <v/>
      </c>
      <c r="E57" s="1">
        <f>MID(B57,FIND("-",B57)+1,FIND("-",B57,FIND("-",B57)+1)-FIND("-",B57)-1)</f>
        <v/>
      </c>
      <c r="G57" s="1">
        <f>IF(ISERROR(FIND("-D-",B57)),"","X")</f>
        <v/>
      </c>
      <c r="H57" s="1">
        <f>IF(ISERROR(FIND("-C-",B57)),"","X")</f>
        <v/>
      </c>
      <c r="I57" s="1">
        <f>IF(ISERROR(FIND("-E-",B57)),"","X")</f>
        <v/>
      </c>
      <c r="K57" s="1">
        <f>IF(ISERROR(FIND("P1",A57)),"","X")</f>
        <v/>
      </c>
      <c r="L57" s="1">
        <f>IF(ISERROR(FIND("P2",A57)),"","X")</f>
        <v/>
      </c>
      <c r="M57" s="1">
        <f>IF(ISERROR(FIND("P3",A57)),"","X")</f>
        <v/>
      </c>
      <c r="N57" s="1">
        <f>IF(ISERROR(FIND("RO",B57)),IF(ISERROR(FIND("CD",B57)),IF(ISERROR(FIND("CG",B57)),IF(ISERROR(FIND("AG",B57)),IF(ISERROR(FIND("RT",B57)),IF(ISERROR(FIND("RF",B57)),IF(ISERROR(FIND("AM",B57)),IF(ISERROR(FIND("RP",B57)),"","ROLO FORA DE POSIÇÃO"),"ACUMULO DE MATERIAL"),"ROLO FALTANTE"),"ROLETE TRAVADO"),"DESGASTE NATURAL"),"CILINDRO GASTO"),"DEGOLADO"),"ROLAMENTO DANIFICADO")</f>
        <v/>
      </c>
      <c r="O57" s="1" t="n">
        <v>12007430</v>
      </c>
      <c r="P57" s="2" t="n">
        <v>46087</v>
      </c>
    </row>
    <row r="59">
      <c r="A59" s="1" t="inlineStr">
        <is>
          <t>P1 - Urgência</t>
        </is>
      </c>
      <c r="B59" s="1" t="inlineStr">
        <is>
          <t>41-RR-D-RO</t>
        </is>
      </c>
      <c r="C59" s="1" t="inlineStr">
        <is>
          <t>03CV024</t>
        </is>
      </c>
      <c r="D59" s="1">
        <f>LEFT(B59,FIND("-",B59)-1)</f>
        <v/>
      </c>
      <c r="E59" s="1">
        <f>MID(B59,FIND("-",B59)+1,FIND("-",B59,FIND("-",B59)+1)-FIND("-",B59)-1)</f>
        <v/>
      </c>
      <c r="G59" s="1">
        <f>IF(ISERROR(FIND("-D-",B59)),"","X")</f>
        <v/>
      </c>
      <c r="H59" s="1">
        <f>IF(ISERROR(FIND("-C-",B59)),"","X")</f>
        <v/>
      </c>
      <c r="I59" s="1">
        <f>IF(ISERROR(FIND("-E-",B59)),"","X")</f>
        <v/>
      </c>
      <c r="K59" s="1">
        <f>IF(ISERROR(FIND("P1",A59)),"","X")</f>
        <v/>
      </c>
      <c r="L59" s="1">
        <f>IF(ISERROR(FIND("P2",A59)),"","X")</f>
        <v/>
      </c>
      <c r="M59" s="1">
        <f>IF(ISERROR(FIND("P3",A59)),"","X")</f>
        <v/>
      </c>
      <c r="N59" s="1">
        <f>IF(ISERROR(FIND("RO",B59)),IF(ISERROR(FIND("CD",B59)),IF(ISERROR(FIND("CG",B59)),IF(ISERROR(FIND("AG",B59)),IF(ISERROR(FIND("RT",B59)),IF(ISERROR(FIND("RF",B59)),IF(ISERROR(FIND("AM",B59)),IF(ISERROR(FIND("RP",B59)),"","ROLO FORA DE POSIÇÃO"),"ACUMULO DE MATERIAL"),"ROLO FALTANTE"),"ROLETE TRAVADO"),"DESGASTE NATURAL"),"CILINDRO GASTO"),"DEGOLADO"),"ROLAMENTO DANIFICADO")</f>
        <v/>
      </c>
      <c r="O59" s="1" t="n">
        <v>12007429</v>
      </c>
      <c r="P59" s="2" t="n">
        <v>46087</v>
      </c>
    </row>
    <row r="60">
      <c r="A60" s="1" t="inlineStr">
        <is>
          <t>P1 - Urgência</t>
        </is>
      </c>
      <c r="B60" s="1" t="inlineStr">
        <is>
          <t>151-RR-E-RO</t>
        </is>
      </c>
      <c r="C60" s="1" t="inlineStr">
        <is>
          <t>03CV024</t>
        </is>
      </c>
      <c r="D60" s="1">
        <f>LEFT(B60,FIND("-",B60)-1)</f>
        <v/>
      </c>
      <c r="E60" s="1">
        <f>MID(B60,FIND("-",B60)+1,FIND("-",B60,FIND("-",B60)+1)-FIND("-",B60)-1)</f>
        <v/>
      </c>
      <c r="G60" s="1">
        <f>IF(ISERROR(FIND("-D-",B60)),"","X")</f>
        <v/>
      </c>
      <c r="H60" s="1">
        <f>IF(ISERROR(FIND("-C-",B60)),"","X")</f>
        <v/>
      </c>
      <c r="I60" s="1">
        <f>IF(ISERROR(FIND("-E-",B60)),"","X")</f>
        <v/>
      </c>
      <c r="K60" s="1">
        <f>IF(ISERROR(FIND("P1",A60)),"","X")</f>
        <v/>
      </c>
      <c r="L60" s="1">
        <f>IF(ISERROR(FIND("P2",A60)),"","X")</f>
        <v/>
      </c>
      <c r="M60" s="1">
        <f>IF(ISERROR(FIND("P3",A60)),"","X")</f>
        <v/>
      </c>
      <c r="N60" s="1">
        <f>IF(ISERROR(FIND("RO",B60)),IF(ISERROR(FIND("CD",B60)),IF(ISERROR(FIND("CG",B60)),IF(ISERROR(FIND("AG",B60)),IF(ISERROR(FIND("RT",B60)),IF(ISERROR(FIND("RF",B60)),IF(ISERROR(FIND("AM",B60)),IF(ISERROR(FIND("RP",B60)),"","ROLO FORA DE POSIÇÃO"),"ACUMULO DE MATERIAL"),"ROLO FALTANTE"),"ROLETE TRAVADO"),"DESGASTE NATURAL"),"CILINDRO GASTO"),"DEGOLADO"),"ROLAMENTO DANIFICADO")</f>
        <v/>
      </c>
      <c r="O60" s="1" t="n">
        <v>12007423</v>
      </c>
      <c r="P60" s="2" t="n">
        <v>46087</v>
      </c>
    </row>
    <row r="61">
      <c r="A61" s="1" t="inlineStr">
        <is>
          <t>P1 - Urgência</t>
        </is>
      </c>
      <c r="B61" s="1" t="inlineStr">
        <is>
          <t>160-RR-E-RO</t>
        </is>
      </c>
      <c r="C61" s="1" t="inlineStr">
        <is>
          <t>03CV024</t>
        </is>
      </c>
      <c r="D61" s="1">
        <f>LEFT(B61,FIND("-",B61)-1)</f>
        <v/>
      </c>
      <c r="E61" s="1">
        <f>MID(B61,FIND("-",B61)+1,FIND("-",B61,FIND("-",B61)+1)-FIND("-",B61)-1)</f>
        <v/>
      </c>
      <c r="G61" s="1">
        <f>IF(ISERROR(FIND("-D-",B61)),"","X")</f>
        <v/>
      </c>
      <c r="H61" s="1">
        <f>IF(ISERROR(FIND("-C-",B61)),"","X")</f>
        <v/>
      </c>
      <c r="I61" s="1">
        <f>IF(ISERROR(FIND("-E-",B61)),"","X")</f>
        <v/>
      </c>
      <c r="K61" s="1">
        <f>IF(ISERROR(FIND("P1",A61)),"","X")</f>
        <v/>
      </c>
      <c r="L61" s="1">
        <f>IF(ISERROR(FIND("P2",A61)),"","X")</f>
        <v/>
      </c>
      <c r="M61" s="1">
        <f>IF(ISERROR(FIND("P3",A61)),"","X")</f>
        <v/>
      </c>
      <c r="N61" s="1">
        <f>IF(ISERROR(FIND("RO",B61)),IF(ISERROR(FIND("CD",B61)),IF(ISERROR(FIND("CG",B61)),IF(ISERROR(FIND("AG",B61)),IF(ISERROR(FIND("RT",B61)),IF(ISERROR(FIND("RF",B61)),IF(ISERROR(FIND("AM",B61)),IF(ISERROR(FIND("RP",B61)),"","ROLO FORA DE POSIÇÃO"),"ACUMULO DE MATERIAL"),"ROLO FALTANTE"),"ROLETE TRAVADO"),"DESGASTE NATURAL"),"CILINDRO GASTO"),"DEGOLADO"),"ROLAMENTO DANIFICADO")</f>
        <v/>
      </c>
      <c r="O61" s="1" t="n">
        <v>12007422</v>
      </c>
      <c r="P61" s="2" t="n">
        <v>46087</v>
      </c>
    </row>
    <row r="62">
      <c r="A62" s="1" t="inlineStr">
        <is>
          <t>P1 - Urgência</t>
        </is>
      </c>
      <c r="B62" s="1" t="inlineStr">
        <is>
          <t>171-RC-D-RO</t>
        </is>
      </c>
      <c r="C62" s="1" t="inlineStr">
        <is>
          <t>03CV024</t>
        </is>
      </c>
      <c r="D62" s="1">
        <f>LEFT(B62,FIND("-",B62)-1)</f>
        <v/>
      </c>
      <c r="E62" s="1">
        <f>MID(B62,FIND("-",B62)+1,FIND("-",B62,FIND("-",B62)+1)-FIND("-",B62)-1)</f>
        <v/>
      </c>
      <c r="G62" s="1">
        <f>IF(ISERROR(FIND("-D-",B62)),"","X")</f>
        <v/>
      </c>
      <c r="H62" s="1">
        <f>IF(ISERROR(FIND("-C-",B62)),"","X")</f>
        <v/>
      </c>
      <c r="I62" s="1">
        <f>IF(ISERROR(FIND("-E-",B62)),"","X")</f>
        <v/>
      </c>
      <c r="K62" s="1">
        <f>IF(ISERROR(FIND("P1",A62)),"","X")</f>
        <v/>
      </c>
      <c r="L62" s="1">
        <f>IF(ISERROR(FIND("P2",A62)),"","X")</f>
        <v/>
      </c>
      <c r="M62" s="1">
        <f>IF(ISERROR(FIND("P3",A62)),"","X")</f>
        <v/>
      </c>
      <c r="N62" s="1">
        <f>IF(ISERROR(FIND("RO",B62)),IF(ISERROR(FIND("CD",B62)),IF(ISERROR(FIND("CG",B62)),IF(ISERROR(FIND("AG",B62)),IF(ISERROR(FIND("RT",B62)),IF(ISERROR(FIND("RF",B62)),IF(ISERROR(FIND("AM",B62)),IF(ISERROR(FIND("RP",B62)),"","ROLO FORA DE POSIÇÃO"),"ACUMULO DE MATERIAL"),"ROLO FALTANTE"),"ROLETE TRAVADO"),"DESGASTE NATURAL"),"CILINDRO GASTO"),"DEGOLADO"),"ROLAMENTO DANIFICADO")</f>
        <v/>
      </c>
      <c r="O62" s="1" t="n">
        <v>12007428</v>
      </c>
      <c r="P62" s="2" t="n">
        <v>46087</v>
      </c>
    </row>
    <row r="63">
      <c r="A63" s="1" t="inlineStr">
        <is>
          <t>P1 - Urgência</t>
        </is>
      </c>
      <c r="B63" s="1" t="inlineStr">
        <is>
          <t>177-RR-E-RT</t>
        </is>
      </c>
      <c r="C63" s="1" t="inlineStr">
        <is>
          <t>03CV024</t>
        </is>
      </c>
      <c r="D63" s="1">
        <f>LEFT(B63,FIND("-",B63)-1)</f>
        <v/>
      </c>
      <c r="E63" s="1">
        <f>MID(B63,FIND("-",B63)+1,FIND("-",B63,FIND("-",B63)+1)-FIND("-",B63)-1)</f>
        <v/>
      </c>
      <c r="G63" s="1">
        <f>IF(ISERROR(FIND("-D-",B63)),"","X")</f>
        <v/>
      </c>
      <c r="H63" s="1">
        <f>IF(ISERROR(FIND("-C-",B63)),"","X")</f>
        <v/>
      </c>
      <c r="I63" s="1">
        <f>IF(ISERROR(FIND("-E-",B63)),"","X")</f>
        <v/>
      </c>
      <c r="K63" s="1">
        <f>IF(ISERROR(FIND("P1",A63)),"","X")</f>
        <v/>
      </c>
      <c r="L63" s="1">
        <f>IF(ISERROR(FIND("P2",A63)),"","X")</f>
        <v/>
      </c>
      <c r="M63" s="1">
        <f>IF(ISERROR(FIND("P3",A63)),"","X")</f>
        <v/>
      </c>
      <c r="N63" s="1">
        <f>IF(ISERROR(FIND("RO",B63)),IF(ISERROR(FIND("CD",B63)),IF(ISERROR(FIND("CG",B63)),IF(ISERROR(FIND("AG",B63)),IF(ISERROR(FIND("RT",B63)),IF(ISERROR(FIND("RF",B63)),IF(ISERROR(FIND("AM",B63)),IF(ISERROR(FIND("RP",B63)),"","ROLO FORA DE POSIÇÃO"),"ACUMULO DE MATERIAL"),"ROLO FALTANTE"),"ROLETE TRAVADO"),"DESGASTE NATURAL"),"CILINDRO GASTO"),"DEGOLADO"),"ROLAMENTO DANIFICADO")</f>
        <v/>
      </c>
      <c r="O63" s="1" t="n">
        <v>12007421</v>
      </c>
      <c r="P63" s="2" t="n">
        <v>46087</v>
      </c>
    </row>
    <row r="64">
      <c r="A64" s="1" t="inlineStr">
        <is>
          <t>P1 - Urgência</t>
        </is>
      </c>
      <c r="B64" s="1" t="inlineStr">
        <is>
          <t>190-RR-D-RO</t>
        </is>
      </c>
      <c r="C64" s="1" t="inlineStr">
        <is>
          <t>03CV024</t>
        </is>
      </c>
      <c r="D64" s="1">
        <f>LEFT(B64,FIND("-",B64)-1)</f>
        <v/>
      </c>
      <c r="E64" s="1">
        <f>MID(B64,FIND("-",B64)+1,FIND("-",B64,FIND("-",B64)+1)-FIND("-",B64)-1)</f>
        <v/>
      </c>
      <c r="G64" s="1">
        <f>IF(ISERROR(FIND("-D-",B64)),"","X")</f>
        <v/>
      </c>
      <c r="H64" s="1">
        <f>IF(ISERROR(FIND("-C-",B64)),"","X")</f>
        <v/>
      </c>
      <c r="I64" s="1">
        <f>IF(ISERROR(FIND("-E-",B64)),"","X")</f>
        <v/>
      </c>
      <c r="K64" s="1">
        <f>IF(ISERROR(FIND("P1",A64)),"","X")</f>
        <v/>
      </c>
      <c r="L64" s="1">
        <f>IF(ISERROR(FIND("P2",A64)),"","X")</f>
        <v/>
      </c>
      <c r="M64" s="1">
        <f>IF(ISERROR(FIND("P3",A64)),"","X")</f>
        <v/>
      </c>
      <c r="N64" s="1">
        <f>IF(ISERROR(FIND("RO",B64)),IF(ISERROR(FIND("CD",B64)),IF(ISERROR(FIND("CG",B64)),IF(ISERROR(FIND("AG",B64)),IF(ISERROR(FIND("RT",B64)),IF(ISERROR(FIND("RF",B64)),IF(ISERROR(FIND("AM",B64)),IF(ISERROR(FIND("RP",B64)),"","ROLO FORA DE POSIÇÃO"),"ACUMULO DE MATERIAL"),"ROLO FALTANTE"),"ROLETE TRAVADO"),"DESGASTE NATURAL"),"CILINDRO GASTO"),"DEGOLADO"),"ROLAMENTO DANIFICADO")</f>
        <v/>
      </c>
      <c r="O64" s="1" t="n">
        <v>12007427</v>
      </c>
      <c r="P64" s="2" t="n">
        <v>46087</v>
      </c>
    </row>
    <row r="65">
      <c r="A65" s="1" t="inlineStr">
        <is>
          <t>P1 - Urgência</t>
        </is>
      </c>
      <c r="B65" s="1" t="inlineStr">
        <is>
          <t>268-RC-C-RO</t>
        </is>
      </c>
      <c r="C65" s="1" t="inlineStr">
        <is>
          <t>03CV024</t>
        </is>
      </c>
      <c r="D65" s="1">
        <f>LEFT(B65,FIND("-",B65)-1)</f>
        <v/>
      </c>
      <c r="E65" s="1">
        <f>MID(B65,FIND("-",B65)+1,FIND("-",B65,FIND("-",B65)+1)-FIND("-",B65)-1)</f>
        <v/>
      </c>
      <c r="G65" s="1">
        <f>IF(ISERROR(FIND("-D-",B65)),"","X")</f>
        <v/>
      </c>
      <c r="H65" s="1">
        <f>IF(ISERROR(FIND("-C-",B65)),"","X")</f>
        <v/>
      </c>
      <c r="I65" s="1">
        <f>IF(ISERROR(FIND("-E-",B65)),"","X")</f>
        <v/>
      </c>
      <c r="K65" s="1">
        <f>IF(ISERROR(FIND("P1",A65)),"","X")</f>
        <v/>
      </c>
      <c r="L65" s="1">
        <f>IF(ISERROR(FIND("P2",A65)),"","X")</f>
        <v/>
      </c>
      <c r="M65" s="1">
        <f>IF(ISERROR(FIND("P3",A65)),"","X")</f>
        <v/>
      </c>
      <c r="N65" s="1">
        <f>IF(ISERROR(FIND("RO",B65)),IF(ISERROR(FIND("CD",B65)),IF(ISERROR(FIND("CG",B65)),IF(ISERROR(FIND("AG",B65)),IF(ISERROR(FIND("RT",B65)),IF(ISERROR(FIND("RF",B65)),IF(ISERROR(FIND("AM",B65)),IF(ISERROR(FIND("RP",B65)),"","ROLO FORA DE POSIÇÃO"),"ACUMULO DE MATERIAL"),"ROLO FALTANTE"),"ROLETE TRAVADO"),"DESGASTE NATURAL"),"CILINDRO GASTO"),"DEGOLADO"),"ROLAMENTO DANIFICADO")</f>
        <v/>
      </c>
      <c r="O65" s="1" t="n">
        <v>12007426</v>
      </c>
      <c r="P65" s="2" t="n">
        <v>46087</v>
      </c>
    </row>
    <row r="66">
      <c r="A66" s="1" t="inlineStr">
        <is>
          <t>P1 - Urgência</t>
        </is>
      </c>
      <c r="B66" s="1" t="inlineStr">
        <is>
          <t>283-RC-D-RO</t>
        </is>
      </c>
      <c r="C66" s="1" t="inlineStr">
        <is>
          <t>03CV024</t>
        </is>
      </c>
      <c r="D66" s="1">
        <f>LEFT(B66,FIND("-",B66)-1)</f>
        <v/>
      </c>
      <c r="E66" s="1">
        <f>MID(B66,FIND("-",B66)+1,FIND("-",B66,FIND("-",B66)+1)-FIND("-",B66)-1)</f>
        <v/>
      </c>
      <c r="G66" s="1">
        <f>IF(ISERROR(FIND("-D-",B66)),"","X")</f>
        <v/>
      </c>
      <c r="H66" s="1">
        <f>IF(ISERROR(FIND("-C-",B66)),"","X")</f>
        <v/>
      </c>
      <c r="I66" s="1">
        <f>IF(ISERROR(FIND("-E-",B66)),"","X")</f>
        <v/>
      </c>
      <c r="K66" s="1">
        <f>IF(ISERROR(FIND("P1",A66)),"","X")</f>
        <v/>
      </c>
      <c r="L66" s="1">
        <f>IF(ISERROR(FIND("P2",A66)),"","X")</f>
        <v/>
      </c>
      <c r="M66" s="1">
        <f>IF(ISERROR(FIND("P3",A66)),"","X")</f>
        <v/>
      </c>
      <c r="N66" s="1">
        <f>IF(ISERROR(FIND("RO",B66)),IF(ISERROR(FIND("CD",B66)),IF(ISERROR(FIND("CG",B66)),IF(ISERROR(FIND("AG",B66)),IF(ISERROR(FIND("RT",B66)),IF(ISERROR(FIND("RF",B66)),IF(ISERROR(FIND("AM",B66)),IF(ISERROR(FIND("RP",B66)),"","ROLO FORA DE POSIÇÃO"),"ACUMULO DE MATERIAL"),"ROLO FALTANTE"),"ROLETE TRAVADO"),"DESGASTE NATURAL"),"CILINDRO GASTO"),"DEGOLADO"),"ROLAMENTO DANIFICADO")</f>
        <v/>
      </c>
      <c r="O66" s="1" t="n">
        <v>12007425</v>
      </c>
      <c r="P66" s="2" t="n">
        <v>46087</v>
      </c>
    </row>
    <row r="67">
      <c r="A67" s="1" t="inlineStr">
        <is>
          <t>P1 - Urgência</t>
        </is>
      </c>
      <c r="B67" s="1" t="inlineStr">
        <is>
          <t>284-RR-E-RO</t>
        </is>
      </c>
      <c r="C67" s="1" t="inlineStr">
        <is>
          <t>03CV024</t>
        </is>
      </c>
      <c r="D67" s="1">
        <f>LEFT(B67,FIND("-",B67)-1)</f>
        <v/>
      </c>
      <c r="E67" s="1">
        <f>MID(B67,FIND("-",B67)+1,FIND("-",B67,FIND("-",B67)+1)-FIND("-",B67)-1)</f>
        <v/>
      </c>
      <c r="G67" s="1">
        <f>IF(ISERROR(FIND("-D-",B67)),"","X")</f>
        <v/>
      </c>
      <c r="H67" s="1">
        <f>IF(ISERROR(FIND("-C-",B67)),"","X")</f>
        <v/>
      </c>
      <c r="I67" s="1">
        <f>IF(ISERROR(FIND("-E-",B67)),"","X")</f>
        <v/>
      </c>
      <c r="K67" s="1">
        <f>IF(ISERROR(FIND("P1",A67)),"","X")</f>
        <v/>
      </c>
      <c r="L67" s="1">
        <f>IF(ISERROR(FIND("P2",A67)),"","X")</f>
        <v/>
      </c>
      <c r="M67" s="1">
        <f>IF(ISERROR(FIND("P3",A67)),"","X")</f>
        <v/>
      </c>
      <c r="N67" s="1">
        <f>IF(ISERROR(FIND("RO",B67)),IF(ISERROR(FIND("CD",B67)),IF(ISERROR(FIND("CG",B67)),IF(ISERROR(FIND("AG",B67)),IF(ISERROR(FIND("RT",B67)),IF(ISERROR(FIND("RF",B67)),IF(ISERROR(FIND("AM",B67)),IF(ISERROR(FIND("RP",B67)),"","ROLO FORA DE POSIÇÃO"),"ACUMULO DE MATERIAL"),"ROLO FALTANTE"),"ROLETE TRAVADO"),"DESGASTE NATURAL"),"CILINDRO GASTO"),"DEGOLADO"),"ROLAMENTO DANIFICADO")</f>
        <v/>
      </c>
      <c r="O67" s="1" t="n">
        <v>12007420</v>
      </c>
      <c r="P67" s="2" t="n">
        <v>46087</v>
      </c>
    </row>
    <row r="68">
      <c r="A68" s="1" t="inlineStr">
        <is>
          <t>P1 - Urgência</t>
        </is>
      </c>
      <c r="B68" s="1" t="inlineStr">
        <is>
          <t>291-RC-C-CG</t>
        </is>
      </c>
      <c r="C68" s="1" t="inlineStr">
        <is>
          <t>03CV024</t>
        </is>
      </c>
      <c r="D68" s="1">
        <f>LEFT(B68,FIND("-",B68)-1)</f>
        <v/>
      </c>
      <c r="E68" s="1">
        <f>MID(B68,FIND("-",B68)+1,FIND("-",B68,FIND("-",B68)+1)-FIND("-",B68)-1)</f>
        <v/>
      </c>
      <c r="G68" s="1">
        <f>IF(ISERROR(FIND("-D-",B68)),"","X")</f>
        <v/>
      </c>
      <c r="H68" s="1">
        <f>IF(ISERROR(FIND("-C-",B68)),"","X")</f>
        <v/>
      </c>
      <c r="I68" s="1">
        <f>IF(ISERROR(FIND("-E-",B68)),"","X")</f>
        <v/>
      </c>
      <c r="K68" s="1">
        <f>IF(ISERROR(FIND("P1",A68)),"","X")</f>
        <v/>
      </c>
      <c r="L68" s="1">
        <f>IF(ISERROR(FIND("P2",A68)),"","X")</f>
        <v/>
      </c>
      <c r="M68" s="1">
        <f>IF(ISERROR(FIND("P3",A68)),"","X")</f>
        <v/>
      </c>
      <c r="N68" s="1">
        <f>IF(ISERROR(FIND("RO",B68)),IF(ISERROR(FIND("CD",B68)),IF(ISERROR(FIND("CG",B68)),IF(ISERROR(FIND("AG",B68)),IF(ISERROR(FIND("RT",B68)),IF(ISERROR(FIND("RF",B68)),IF(ISERROR(FIND("AM",B68)),IF(ISERROR(FIND("RP",B68)),"","ROLO FORA DE POSIÇÃO"),"ACUMULO DE MATERIAL"),"ROLO FALTANTE"),"ROLETE TRAVADO"),"DESGASTE NATURAL"),"CILINDRO GASTO"),"DEGOLADO"),"ROLAMENTO DANIFICADO")</f>
        <v/>
      </c>
      <c r="O68" s="1" t="n">
        <v>12007419</v>
      </c>
      <c r="P68" s="2" t="n">
        <v>46087</v>
      </c>
    </row>
    <row r="69">
      <c r="A69" s="1" t="inlineStr">
        <is>
          <t>P1 - Urgência</t>
        </is>
      </c>
      <c r="B69" s="1" t="inlineStr">
        <is>
          <t>331-RC-C-RO</t>
        </is>
      </c>
      <c r="C69" s="1" t="inlineStr">
        <is>
          <t>03CV024</t>
        </is>
      </c>
      <c r="D69" s="1">
        <f>LEFT(B69,FIND("-",B69)-1)</f>
        <v/>
      </c>
      <c r="E69" s="1">
        <f>MID(B69,FIND("-",B69)+1,FIND("-",B69,FIND("-",B69)+1)-FIND("-",B69)-1)</f>
        <v/>
      </c>
      <c r="G69" s="1">
        <f>IF(ISERROR(FIND("-D-",B69)),"","X")</f>
        <v/>
      </c>
      <c r="H69" s="1">
        <f>IF(ISERROR(FIND("-C-",B69)),"","X")</f>
        <v/>
      </c>
      <c r="I69" s="1">
        <f>IF(ISERROR(FIND("-E-",B69)),"","X")</f>
        <v/>
      </c>
      <c r="K69" s="1">
        <f>IF(ISERROR(FIND("P1",A69)),"","X")</f>
        <v/>
      </c>
      <c r="L69" s="1">
        <f>IF(ISERROR(FIND("P2",A69)),"","X")</f>
        <v/>
      </c>
      <c r="M69" s="1">
        <f>IF(ISERROR(FIND("P3",A69)),"","X")</f>
        <v/>
      </c>
      <c r="N69" s="1">
        <f>IF(ISERROR(FIND("RO",B69)),IF(ISERROR(FIND("CD",B69)),IF(ISERROR(FIND("CG",B69)),IF(ISERROR(FIND("AG",B69)),IF(ISERROR(FIND("RT",B69)),IF(ISERROR(FIND("RF",B69)),IF(ISERROR(FIND("AM",B69)),IF(ISERROR(FIND("RP",B69)),"","ROLO FORA DE POSIÇÃO"),"ACUMULO DE MATERIAL"),"ROLO FALTANTE"),"ROLETE TRAVADO"),"DESGASTE NATURAL"),"CILINDRO GASTO"),"DEGOLADO"),"ROLAMENTO DANIFICADO")</f>
        <v/>
      </c>
      <c r="O69" s="1" t="n">
        <v>12007424</v>
      </c>
      <c r="P69" s="2" t="n">
        <v>46087</v>
      </c>
    </row>
    <row r="70">
      <c r="A70" s="1" t="inlineStr">
        <is>
          <t>P1 - Urgência</t>
        </is>
      </c>
      <c r="B70" s="1" t="inlineStr">
        <is>
          <t>380-RC-C-RO</t>
        </is>
      </c>
      <c r="C70" s="1" t="inlineStr">
        <is>
          <t>03CV024</t>
        </is>
      </c>
      <c r="D70" s="1">
        <f>LEFT(B70,FIND("-",B70)-1)</f>
        <v/>
      </c>
      <c r="E70" s="1">
        <f>MID(B70,FIND("-",B70)+1,FIND("-",B70,FIND("-",B70)+1)-FIND("-",B70)-1)</f>
        <v/>
      </c>
      <c r="G70" s="1">
        <f>IF(ISERROR(FIND("-D-",B70)),"","X")</f>
        <v/>
      </c>
      <c r="H70" s="1">
        <f>IF(ISERROR(FIND("-C-",B70)),"","X")</f>
        <v/>
      </c>
      <c r="I70" s="1">
        <f>IF(ISERROR(FIND("-E-",B70)),"","X")</f>
        <v/>
      </c>
      <c r="K70" s="1">
        <f>IF(ISERROR(FIND("P1",A70)),"","X")</f>
        <v/>
      </c>
      <c r="L70" s="1">
        <f>IF(ISERROR(FIND("P2",A70)),"","X")</f>
        <v/>
      </c>
      <c r="M70" s="1">
        <f>IF(ISERROR(FIND("P3",A70)),"","X")</f>
        <v/>
      </c>
      <c r="N70" s="1">
        <f>IF(ISERROR(FIND("RO",B70)),IF(ISERROR(FIND("CD",B70)),IF(ISERROR(FIND("CG",B70)),IF(ISERROR(FIND("AG",B70)),IF(ISERROR(FIND("RT",B70)),IF(ISERROR(FIND("RF",B70)),IF(ISERROR(FIND("AM",B70)),IF(ISERROR(FIND("RP",B70)),"","ROLO FORA DE POSIÇÃO"),"ACUMULO DE MATERIAL"),"ROLO FALTANTE"),"ROLETE TRAVADO"),"DESGASTE NATURAL"),"CILINDRO GASTO"),"DEGOLADO"),"ROLAMENTO DANIFICADO")</f>
        <v/>
      </c>
      <c r="O70" s="1" t="n">
        <v>12007418</v>
      </c>
      <c r="P70" s="2" t="n">
        <v>46087</v>
      </c>
    </row>
    <row r="72">
      <c r="A72" s="1" t="inlineStr">
        <is>
          <t>P1 - Urgência</t>
        </is>
      </c>
      <c r="B72" s="1" t="inlineStr">
        <is>
          <t>14-RC-C-CG</t>
        </is>
      </c>
      <c r="C72" s="1" t="inlineStr">
        <is>
          <t>05CV025</t>
        </is>
      </c>
      <c r="D72" s="1">
        <f>LEFT(B72,FIND("-",B72)-1)</f>
        <v/>
      </c>
      <c r="E72" s="1">
        <f>MID(B72,FIND("-",B72)+1,FIND("-",B72,FIND("-",B72)+1)-FIND("-",B72)-1)</f>
        <v/>
      </c>
      <c r="G72" s="1">
        <f>IF(ISERROR(FIND("-D-",B72)),"","X")</f>
        <v/>
      </c>
      <c r="H72" s="1">
        <f>IF(ISERROR(FIND("-C-",B72)),"","X")</f>
        <v/>
      </c>
      <c r="I72" s="1">
        <f>IF(ISERROR(FIND("-E-",B72)),"","X")</f>
        <v/>
      </c>
      <c r="K72" s="1">
        <f>IF(ISERROR(FIND("P1",A72)),"","X")</f>
        <v/>
      </c>
      <c r="L72" s="1">
        <f>IF(ISERROR(FIND("P2",A72)),"","X")</f>
        <v/>
      </c>
      <c r="M72" s="1">
        <f>IF(ISERROR(FIND("P3",A72)),"","X")</f>
        <v/>
      </c>
      <c r="N72" s="1">
        <f>IF(ISERROR(FIND("RO",B72)),IF(ISERROR(FIND("CD",B72)),IF(ISERROR(FIND("CG",B72)),IF(ISERROR(FIND("AG",B72)),IF(ISERROR(FIND("RT",B72)),IF(ISERROR(FIND("RF",B72)),IF(ISERROR(FIND("AM",B72)),IF(ISERROR(FIND("RP",B72)),"","ROLO FORA DE POSIÇÃO"),"ACUMULO DE MATERIAL"),"ROLO FALTANTE"),"ROLETE TRAVADO"),"DESGASTE NATURAL"),"CILINDRO GASTO"),"DEGOLADO"),"ROLAMENTO DANIFICADO")</f>
        <v/>
      </c>
      <c r="O72" s="1" t="n">
        <v>12007410</v>
      </c>
      <c r="P72" s="2" t="n">
        <v>46087</v>
      </c>
    </row>
    <row r="73">
      <c r="A73" s="1" t="inlineStr">
        <is>
          <t>P1 - Urgência</t>
        </is>
      </c>
      <c r="B73" s="1" t="inlineStr">
        <is>
          <t>21-RR-E-AG</t>
        </is>
      </c>
      <c r="C73" s="1" t="inlineStr">
        <is>
          <t>05CV025</t>
        </is>
      </c>
      <c r="D73" s="1">
        <f>LEFT(B73,FIND("-",B73)-1)</f>
        <v/>
      </c>
      <c r="E73" s="1">
        <f>MID(B73,FIND("-",B73)+1,FIND("-",B73,FIND("-",B73)+1)-FIND("-",B73)-1)</f>
        <v/>
      </c>
      <c r="G73" s="1">
        <f>IF(ISERROR(FIND("-D-",B73)),"","X")</f>
        <v/>
      </c>
      <c r="H73" s="1">
        <f>IF(ISERROR(FIND("-C-",B73)),"","X")</f>
        <v/>
      </c>
      <c r="I73" s="1">
        <f>IF(ISERROR(FIND("-E-",B73)),"","X")</f>
        <v/>
      </c>
      <c r="K73" s="1">
        <f>IF(ISERROR(FIND("P1",A73)),"","X")</f>
        <v/>
      </c>
      <c r="L73" s="1">
        <f>IF(ISERROR(FIND("P2",A73)),"","X")</f>
        <v/>
      </c>
      <c r="M73" s="1">
        <f>IF(ISERROR(FIND("P3",A73)),"","X")</f>
        <v/>
      </c>
      <c r="N73" s="1">
        <f>IF(ISERROR(FIND("RO",B73)),IF(ISERROR(FIND("CD",B73)),IF(ISERROR(FIND("CG",B73)),IF(ISERROR(FIND("AG",B73)),IF(ISERROR(FIND("RT",B73)),IF(ISERROR(FIND("RF",B73)),IF(ISERROR(FIND("AM",B73)),IF(ISERROR(FIND("RP",B73)),"","ROLO FORA DE POSIÇÃO"),"ACUMULO DE MATERIAL"),"ROLO FALTANTE"),"ROLETE TRAVADO"),"DESGASTE NATURAL"),"CILINDRO GASTO"),"DEGOLADO"),"ROLAMENTO DANIFICADO")</f>
        <v/>
      </c>
      <c r="O73" s="1" t="n">
        <v>12007411</v>
      </c>
      <c r="P73" s="2" t="n">
        <v>46087</v>
      </c>
    </row>
    <row r="74">
      <c r="A74" s="1" t="inlineStr">
        <is>
          <t>P1 - Urgência</t>
        </is>
      </c>
      <c r="B74" s="1" t="inlineStr">
        <is>
          <t>33-RC-D-RO</t>
        </is>
      </c>
      <c r="C74" s="1" t="inlineStr">
        <is>
          <t>05CV025</t>
        </is>
      </c>
      <c r="D74" s="1">
        <f>LEFT(B74,FIND("-",B74)-1)</f>
        <v/>
      </c>
      <c r="E74" s="1">
        <f>MID(B74,FIND("-",B74)+1,FIND("-",B74,FIND("-",B74)+1)-FIND("-",B74)-1)</f>
        <v/>
      </c>
      <c r="G74" s="1">
        <f>IF(ISERROR(FIND("-D-",B74)),"","X")</f>
        <v/>
      </c>
      <c r="H74" s="1">
        <f>IF(ISERROR(FIND("-C-",B74)),"","X")</f>
        <v/>
      </c>
      <c r="I74" s="1">
        <f>IF(ISERROR(FIND("-E-",B74)),"","X")</f>
        <v/>
      </c>
      <c r="K74" s="1">
        <f>IF(ISERROR(FIND("P1",A74)),"","X")</f>
        <v/>
      </c>
      <c r="L74" s="1">
        <f>IF(ISERROR(FIND("P2",A74)),"","X")</f>
        <v/>
      </c>
      <c r="M74" s="1">
        <f>IF(ISERROR(FIND("P3",A74)),"","X")</f>
        <v/>
      </c>
      <c r="N74" s="1">
        <f>IF(ISERROR(FIND("RO",B74)),IF(ISERROR(FIND("CD",B74)),IF(ISERROR(FIND("CG",B74)),IF(ISERROR(FIND("AG",B74)),IF(ISERROR(FIND("RT",B74)),IF(ISERROR(FIND("RF",B74)),IF(ISERROR(FIND("AM",B74)),IF(ISERROR(FIND("RP",B74)),"","ROLO FORA DE POSIÇÃO"),"ACUMULO DE MATERIAL"),"ROLO FALTANTE"),"ROLETE TRAVADO"),"DESGASTE NATURAL"),"CILINDRO GASTO"),"DEGOLADO"),"ROLAMENTO DANIFICADO")</f>
        <v/>
      </c>
      <c r="O74" s="1" t="n">
        <v>12007416</v>
      </c>
      <c r="P74" s="2" t="n">
        <v>46087</v>
      </c>
    </row>
    <row r="75">
      <c r="A75" s="1" t="inlineStr">
        <is>
          <t>P1 - Urgência</t>
        </is>
      </c>
      <c r="B75" s="1" t="inlineStr">
        <is>
          <t>61-AC-E-RO</t>
        </is>
      </c>
      <c r="C75" s="1" t="inlineStr">
        <is>
          <t>05CV025</t>
        </is>
      </c>
      <c r="D75" s="1">
        <f>LEFT(B75,FIND("-",B75)-1)</f>
        <v/>
      </c>
      <c r="E75" s="1">
        <f>MID(B75,FIND("-",B75)+1,FIND("-",B75,FIND("-",B75)+1)-FIND("-",B75)-1)</f>
        <v/>
      </c>
      <c r="G75" s="1">
        <f>IF(ISERROR(FIND("-D-",B75)),"","X")</f>
        <v/>
      </c>
      <c r="H75" s="1">
        <f>IF(ISERROR(FIND("-C-",B75)),"","X")</f>
        <v/>
      </c>
      <c r="I75" s="1">
        <f>IF(ISERROR(FIND("-E-",B75)),"","X")</f>
        <v/>
      </c>
      <c r="K75" s="1">
        <f>IF(ISERROR(FIND("P1",A75)),"","X")</f>
        <v/>
      </c>
      <c r="L75" s="1">
        <f>IF(ISERROR(FIND("P2",A75)),"","X")</f>
        <v/>
      </c>
      <c r="M75" s="1">
        <f>IF(ISERROR(FIND("P3",A75)),"","X")</f>
        <v/>
      </c>
      <c r="N75" s="1">
        <f>IF(ISERROR(FIND("RO",B75)),IF(ISERROR(FIND("CD",B75)),IF(ISERROR(FIND("CG",B75)),IF(ISERROR(FIND("AG",B75)),IF(ISERROR(FIND("RT",B75)),IF(ISERROR(FIND("RF",B75)),IF(ISERROR(FIND("AM",B75)),IF(ISERROR(FIND("RP",B75)),"","ROLO FORA DE POSIÇÃO"),"ACUMULO DE MATERIAL"),"ROLO FALTANTE"),"ROLETE TRAVADO"),"DESGASTE NATURAL"),"CILINDRO GASTO"),"DEGOLADO"),"ROLAMENTO DANIFICADO")</f>
        <v/>
      </c>
      <c r="O75" s="1" t="n">
        <v>12007412</v>
      </c>
      <c r="P75" s="2" t="n">
        <v>46087</v>
      </c>
    </row>
    <row r="76">
      <c r="A76" s="1" t="inlineStr">
        <is>
          <t>P1 - Urgência</t>
        </is>
      </c>
      <c r="B76" s="1" t="inlineStr">
        <is>
          <t>69-RC-D-RO</t>
        </is>
      </c>
      <c r="C76" s="1" t="inlineStr">
        <is>
          <t>05CV025</t>
        </is>
      </c>
      <c r="D76" s="1">
        <f>LEFT(B76,FIND("-",B76)-1)</f>
        <v/>
      </c>
      <c r="E76" s="1">
        <f>MID(B76,FIND("-",B76)+1,FIND("-",B76,FIND("-",B76)+1)-FIND("-",B76)-1)</f>
        <v/>
      </c>
      <c r="G76" s="1">
        <f>IF(ISERROR(FIND("-D-",B76)),"","X")</f>
        <v/>
      </c>
      <c r="H76" s="1">
        <f>IF(ISERROR(FIND("-C-",B76)),"","X")</f>
        <v/>
      </c>
      <c r="I76" s="1">
        <f>IF(ISERROR(FIND("-E-",B76)),"","X")</f>
        <v/>
      </c>
      <c r="K76" s="1">
        <f>IF(ISERROR(FIND("P1",A76)),"","X")</f>
        <v/>
      </c>
      <c r="L76" s="1">
        <f>IF(ISERROR(FIND("P2",A76)),"","X")</f>
        <v/>
      </c>
      <c r="M76" s="1">
        <f>IF(ISERROR(FIND("P3",A76)),"","X")</f>
        <v/>
      </c>
      <c r="N76" s="1">
        <f>IF(ISERROR(FIND("RO",B76)),IF(ISERROR(FIND("CD",B76)),IF(ISERROR(FIND("CG",B76)),IF(ISERROR(FIND("AG",B76)),IF(ISERROR(FIND("RT",B76)),IF(ISERROR(FIND("RF",B76)),IF(ISERROR(FIND("AM",B76)),IF(ISERROR(FIND("RP",B76)),"","ROLO FORA DE POSIÇÃO"),"ACUMULO DE MATERIAL"),"ROLO FALTANTE"),"ROLETE TRAVADO"),"DESGASTE NATURAL"),"CILINDRO GASTO"),"DEGOLADO"),"ROLAMENTO DANIFICADO")</f>
        <v/>
      </c>
      <c r="O76" s="1" t="n">
        <v>12007417</v>
      </c>
      <c r="P76" s="2" t="n">
        <v>46087</v>
      </c>
    </row>
    <row r="77">
      <c r="A77" s="1" t="inlineStr">
        <is>
          <t>P1 - Urgência</t>
        </is>
      </c>
      <c r="B77" s="1" t="inlineStr">
        <is>
          <t>98-RC-D-RO</t>
        </is>
      </c>
      <c r="C77" s="1" t="inlineStr">
        <is>
          <t>05CV025</t>
        </is>
      </c>
      <c r="D77" s="1">
        <f>LEFT(B77,FIND("-",B77)-1)</f>
        <v/>
      </c>
      <c r="E77" s="1">
        <f>MID(B77,FIND("-",B77)+1,FIND("-",B77,FIND("-",B77)+1)-FIND("-",B77)-1)</f>
        <v/>
      </c>
      <c r="G77" s="1">
        <f>IF(ISERROR(FIND("-D-",B77)),"","X")</f>
        <v/>
      </c>
      <c r="H77" s="1">
        <f>IF(ISERROR(FIND("-C-",B77)),"","X")</f>
        <v/>
      </c>
      <c r="I77" s="1">
        <f>IF(ISERROR(FIND("-E-",B77)),"","X")</f>
        <v/>
      </c>
      <c r="K77" s="1">
        <f>IF(ISERROR(FIND("P1",A77)),"","X")</f>
        <v/>
      </c>
      <c r="L77" s="1">
        <f>IF(ISERROR(FIND("P2",A77)),"","X")</f>
        <v/>
      </c>
      <c r="M77" s="1">
        <f>IF(ISERROR(FIND("P3",A77)),"","X")</f>
        <v/>
      </c>
      <c r="N77" s="1">
        <f>IF(ISERROR(FIND("RO",B77)),IF(ISERROR(FIND("CD",B77)),IF(ISERROR(FIND("CG",B77)),IF(ISERROR(FIND("AG",B77)),IF(ISERROR(FIND("RT",B77)),IF(ISERROR(FIND("RF",B77)),IF(ISERROR(FIND("AM",B77)),IF(ISERROR(FIND("RP",B77)),"","ROLO FORA DE POSIÇÃO"),"ACUMULO DE MATERIAL"),"ROLO FALTANTE"),"ROLETE TRAVADO"),"DESGASTE NATURAL"),"CILINDRO GASTO"),"DEGOLADO"),"ROLAMENTO DANIFICADO")</f>
        <v/>
      </c>
      <c r="O77" s="1" t="n">
        <v>12007414</v>
      </c>
      <c r="P77" s="2" t="n">
        <v>46087</v>
      </c>
    </row>
    <row r="78">
      <c r="A78" s="1" t="inlineStr">
        <is>
          <t>P1 - Urgência</t>
        </is>
      </c>
      <c r="B78" s="1" t="inlineStr">
        <is>
          <t>116-RC-C-RO</t>
        </is>
      </c>
      <c r="C78" s="1" t="inlineStr">
        <is>
          <t>05CV025</t>
        </is>
      </c>
      <c r="D78" s="1">
        <f>LEFT(B78,FIND("-",B78)-1)</f>
        <v/>
      </c>
      <c r="E78" s="1">
        <f>MID(B78,FIND("-",B78)+1,FIND("-",B78,FIND("-",B78)+1)-FIND("-",B78)-1)</f>
        <v/>
      </c>
      <c r="G78" s="1">
        <f>IF(ISERROR(FIND("-D-",B78)),"","X")</f>
        <v/>
      </c>
      <c r="H78" s="1">
        <f>IF(ISERROR(FIND("-C-",B78)),"","X")</f>
        <v/>
      </c>
      <c r="I78" s="1">
        <f>IF(ISERROR(FIND("-E-",B78)),"","X")</f>
        <v/>
      </c>
      <c r="K78" s="1">
        <f>IF(ISERROR(FIND("P1",A78)),"","X")</f>
        <v/>
      </c>
      <c r="L78" s="1">
        <f>IF(ISERROR(FIND("P2",A78)),"","X")</f>
        <v/>
      </c>
      <c r="M78" s="1">
        <f>IF(ISERROR(FIND("P3",A78)),"","X")</f>
        <v/>
      </c>
      <c r="N78" s="1">
        <f>IF(ISERROR(FIND("RO",B78)),IF(ISERROR(FIND("CD",B78)),IF(ISERROR(FIND("CG",B78)),IF(ISERROR(FIND("AG",B78)),IF(ISERROR(FIND("RT",B78)),IF(ISERROR(FIND("RF",B78)),IF(ISERROR(FIND("AM",B78)),IF(ISERROR(FIND("RP",B78)),"","ROLO FORA DE POSIÇÃO"),"ACUMULO DE MATERIAL"),"ROLO FALTANTE"),"ROLETE TRAVADO"),"DESGASTE NATURAL"),"CILINDRO GASTO"),"DEGOLADO"),"ROLAMENTO DANIFICADO")</f>
        <v/>
      </c>
      <c r="O78" s="1" t="n">
        <v>12007413</v>
      </c>
      <c r="P78" s="2" t="n">
        <v>46087</v>
      </c>
    </row>
    <row r="80">
      <c r="A80" s="1" t="inlineStr">
        <is>
          <t>P1 - Urgência</t>
        </is>
      </c>
      <c r="B80" s="1" t="inlineStr">
        <is>
          <t>09-RR-D-CG</t>
        </is>
      </c>
      <c r="C80" s="1" t="inlineStr">
        <is>
          <t>05CV026</t>
        </is>
      </c>
      <c r="D80" s="1">
        <f>LEFT(B80,FIND("-",B80)-1)</f>
        <v/>
      </c>
      <c r="E80" s="1">
        <f>MID(B80,FIND("-",B80)+1,FIND("-",B80,FIND("-",B80)+1)-FIND("-",B80)-1)</f>
        <v/>
      </c>
      <c r="G80" s="1">
        <f>IF(ISERROR(FIND("-D-",B80)),"","X")</f>
        <v/>
      </c>
      <c r="H80" s="1">
        <f>IF(ISERROR(FIND("-C-",B80)),"","X")</f>
        <v/>
      </c>
      <c r="I80" s="1">
        <f>IF(ISERROR(FIND("-E-",B80)),"","X")</f>
        <v/>
      </c>
      <c r="K80" s="1">
        <f>IF(ISERROR(FIND("P1",A80)),"","X")</f>
        <v/>
      </c>
      <c r="L80" s="1">
        <f>IF(ISERROR(FIND("P2",A80)),"","X")</f>
        <v/>
      </c>
      <c r="M80" s="1">
        <f>IF(ISERROR(FIND("P3",A80)),"","X")</f>
        <v/>
      </c>
      <c r="N80" s="1">
        <f>IF(ISERROR(FIND("RO",B80)),IF(ISERROR(FIND("CD",B80)),IF(ISERROR(FIND("CG",B80)),IF(ISERROR(FIND("AG",B80)),IF(ISERROR(FIND("RT",B80)),IF(ISERROR(FIND("RF",B80)),IF(ISERROR(FIND("AM",B80)),IF(ISERROR(FIND("RP",B80)),"","ROLO FORA DE POSIÇÃO"),"ACUMULO DE MATERIAL"),"ROLO FALTANTE"),"ROLETE TRAVADO"),"DESGASTE NATURAL"),"CILINDRO GASTO"),"DEGOLADO"),"ROLAMENTO DANIFICADO")</f>
        <v/>
      </c>
      <c r="O80" s="1" t="n">
        <v>12010394</v>
      </c>
      <c r="P80" s="2" t="n">
        <v>46090</v>
      </c>
    </row>
    <row r="81">
      <c r="A81" s="1" t="inlineStr">
        <is>
          <t>P1 - Urgência</t>
        </is>
      </c>
      <c r="B81" s="1" t="inlineStr">
        <is>
          <t>102-RU-C-RT</t>
        </is>
      </c>
      <c r="C81" s="1" t="inlineStr">
        <is>
          <t>05CV026</t>
        </is>
      </c>
      <c r="D81" s="1">
        <f>LEFT(B81,FIND("-",B81)-1)</f>
        <v/>
      </c>
      <c r="E81" s="1">
        <f>MID(B81,FIND("-",B81)+1,FIND("-",B81,FIND("-",B81)+1)-FIND("-",B81)-1)</f>
        <v/>
      </c>
      <c r="G81" s="1">
        <f>IF(ISERROR(FIND("-D-",B81)),"","X")</f>
        <v/>
      </c>
      <c r="H81" s="1">
        <f>IF(ISERROR(FIND("-C-",B81)),"","X")</f>
        <v/>
      </c>
      <c r="I81" s="1">
        <f>IF(ISERROR(FIND("-E-",B81)),"","X")</f>
        <v/>
      </c>
      <c r="K81" s="1">
        <f>IF(ISERROR(FIND("P1",A81)),"","X")</f>
        <v/>
      </c>
      <c r="L81" s="1">
        <f>IF(ISERROR(FIND("P2",A81)),"","X")</f>
        <v/>
      </c>
      <c r="M81" s="1">
        <f>IF(ISERROR(FIND("P3",A81)),"","X")</f>
        <v/>
      </c>
      <c r="N81" s="1">
        <f>IF(ISERROR(FIND("RO",B81)),IF(ISERROR(FIND("CD",B81)),IF(ISERROR(FIND("CG",B81)),IF(ISERROR(FIND("AG",B81)),IF(ISERROR(FIND("RT",B81)),IF(ISERROR(FIND("RF",B81)),IF(ISERROR(FIND("AM",B81)),IF(ISERROR(FIND("RP",B81)),"","ROLO FORA DE POSIÇÃO"),"ACUMULO DE MATERIAL"),"ROLO FALTANTE"),"ROLETE TRAVADO"),"DESGASTE NATURAL"),"CILINDRO GASTO"),"DEGOLADO"),"ROLAMENTO DANIFICADO")</f>
        <v/>
      </c>
      <c r="O81" s="1" t="n">
        <v>12010395</v>
      </c>
      <c r="P81" s="2" t="n">
        <v>46090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2026-03-10T19:04:55Z</dcterms:created>
  <dcterms:modified xsi:type="dcterms:W3CDTF">2026-03-10T19:04:55Z</dcterms:modified>
</cp:coreProperties>
</file>